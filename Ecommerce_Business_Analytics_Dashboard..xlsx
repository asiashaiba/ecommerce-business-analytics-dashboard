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hidePivotFieldList="1" defaultThemeVersion="166925"/>
  <xr:revisionPtr revIDLastSave="0" documentId="8_{D29D5CBB-6F1C-4AA6-9D34-6782B6B03A30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category analysis" sheetId="4" r:id="rId1"/>
    <sheet name="Regional_Analysis" sheetId="5" r:id="rId2"/>
    <sheet name="Product_Analysis" sheetId="6" r:id="rId3"/>
    <sheet name="Monthly_Analysis" sheetId="7" r:id="rId4"/>
    <sheet name="Dashboard" sheetId="11" r:id="rId5"/>
    <sheet name="Customer_Analysis" sheetId="8" r:id="rId6"/>
    <sheet name="Payment_Analysis" sheetId="9" r:id="rId7"/>
    <sheet name="Profitability_Analysis" sheetId="10" r:id="rId8"/>
    <sheet name="raw-data" sheetId="1" r:id="rId9"/>
    <sheet name="Analysis" sheetId="2" r:id="rId10"/>
    <sheet name="Category_Analysis" sheetId="3" state="hidden" r:id="rId11"/>
  </sheets>
  <calcPr calcId="191028"/>
  <pivotCaches>
    <pivotCache cacheId="166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5" i="11" l="1"/>
  <c r="J5" i="11"/>
  <c r="G5" i="11"/>
  <c r="E5" i="11"/>
  <c r="C5" i="11"/>
  <c r="A5" i="11"/>
  <c r="D5" i="10"/>
  <c r="D6" i="10"/>
  <c r="D7" i="10"/>
  <c r="D4" i="10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B11" i="2"/>
  <c r="B8" i="2"/>
  <c r="B7" i="2"/>
  <c r="B6" i="2"/>
  <c r="B5" i="2"/>
  <c r="B4" i="2"/>
  <c r="B9" i="2" s="1"/>
  <c r="B10" i="2" l="1"/>
</calcChain>
</file>

<file path=xl/sharedStrings.xml><?xml version="1.0" encoding="utf-8"?>
<sst xmlns="http://schemas.openxmlformats.org/spreadsheetml/2006/main" count="3110" uniqueCount="850">
  <si>
    <t>Category</t>
  </si>
  <si>
    <t>Sum of Sales</t>
  </si>
  <si>
    <t>Beauty</t>
  </si>
  <si>
    <t>Electronics</t>
  </si>
  <si>
    <t>Fashion</t>
  </si>
  <si>
    <t>Home &amp; Kitchen</t>
  </si>
  <si>
    <t>Grand Total</t>
  </si>
  <si>
    <t>Region</t>
  </si>
  <si>
    <t>East</t>
  </si>
  <si>
    <t>North</t>
  </si>
  <si>
    <t>South</t>
  </si>
  <si>
    <t>West</t>
  </si>
  <si>
    <t>Product</t>
  </si>
  <si>
    <t>Sum of Profit</t>
  </si>
  <si>
    <t>Air Fryer</t>
  </si>
  <si>
    <t>Coffee Maker</t>
  </si>
  <si>
    <t>Smart Watch</t>
  </si>
  <si>
    <t>Sneakers</t>
  </si>
  <si>
    <t>Wireless Earbuds</t>
  </si>
  <si>
    <t>Month</t>
  </si>
  <si>
    <t>E-COMMERCE BUSINESS ANALYTICS DASHBOARD</t>
  </si>
  <si>
    <t>Revenue • Profitability • Customers • Regional &amp; Product Performance</t>
  </si>
  <si>
    <t>TOTAL REVENUE</t>
  </si>
  <si>
    <t>TOTAL PROFIT</t>
  </si>
  <si>
    <t>TOTAL ORDERS</t>
  </si>
  <si>
    <t>AVG ORDER VALUE</t>
  </si>
  <si>
    <t>PROFIT MARGIN</t>
  </si>
  <si>
    <t xml:space="preserve">  UNIQUE CUSTOMERS</t>
  </si>
  <si>
    <t>BUSINESS INSIGHTS &amp; RECOMMENDATIONS</t>
  </si>
  <si>
    <t>1. Revenue Performance</t>
  </si>
  <si>
    <t>Monthly revenue trends help identify growth patterns and periods of stronger or weaker sales.</t>
  </si>
  <si>
    <t>2. Category Performance</t>
  </si>
  <si>
    <t>Compare revenue and profit margins across Electronics, Fashion, Beauty, and Home &amp; Kitchen to identify the strongest business categories.</t>
  </si>
  <si>
    <t>3. Product Performance</t>
  </si>
  <si>
    <t>Top-profit products should receive priority in inventory planning and marketing campaigns.</t>
  </si>
  <si>
    <t>4. Regional Performance</t>
  </si>
  <si>
    <t>Regional revenue differences can help identify locations with higher growth potential</t>
  </si>
  <si>
    <t>5. Customer Value</t>
  </si>
  <si>
    <t>Top customers contribute a significant share of revenue and should be targeted through retention strategies and personalized offers</t>
  </si>
  <si>
    <t>1. Focus on high-profit products</t>
  </si>
  <si>
    <t>Prioritize inventory and promotions for products generating stronger profit margins</t>
  </si>
  <si>
    <t>2. Improve low-performing categories</t>
  </si>
  <si>
    <t xml:space="preserve">Review pricing , discounts , and product demand for categories with weaker profitability </t>
  </si>
  <si>
    <t>3. Strengthen customer retention</t>
  </si>
  <si>
    <t>Introduce loyalty offers or personalized promotions for high-value customers</t>
  </si>
  <si>
    <t>4. Optimize regional marketing</t>
  </si>
  <si>
    <t>Invest more  in regions with strong revenue potential and investigate weaker-performing regions</t>
  </si>
  <si>
    <t>5. Monitor monthly trends</t>
  </si>
  <si>
    <t xml:space="preserve">Use monthly revenue tracking to plan stock , campaigns , and sales targets </t>
  </si>
  <si>
    <t xml:space="preserve">s
</t>
  </si>
  <si>
    <t>Customer_ID</t>
  </si>
  <si>
    <t>CUST1137</t>
  </si>
  <si>
    <t>CUST1275</t>
  </si>
  <si>
    <t>CUST1019</t>
  </si>
  <si>
    <t>CUST1181</t>
  </si>
  <si>
    <t>CUST1047</t>
  </si>
  <si>
    <t>CUST1222</t>
  </si>
  <si>
    <t>CUST1243</t>
  </si>
  <si>
    <t>CUST1333</t>
  </si>
  <si>
    <t>CUST1281</t>
  </si>
  <si>
    <t>CUST1240</t>
  </si>
  <si>
    <t>Payment_method</t>
  </si>
  <si>
    <t>Cash on Delivery</t>
  </si>
  <si>
    <t>Credit Card</t>
  </si>
  <si>
    <t>Debit Card</t>
  </si>
  <si>
    <t>Net Banking</t>
  </si>
  <si>
    <t>UPI</t>
  </si>
  <si>
    <t>Profit Margin</t>
  </si>
  <si>
    <t>Order_ID</t>
  </si>
  <si>
    <t>Order_Date</t>
  </si>
  <si>
    <t>Quantity</t>
  </si>
  <si>
    <t>Unit_Price</t>
  </si>
  <si>
    <t>Discount</t>
  </si>
  <si>
    <t>Sales</t>
  </si>
  <si>
    <t>Cost</t>
  </si>
  <si>
    <t>Profit</t>
  </si>
  <si>
    <t>ORD10051</t>
  </si>
  <si>
    <t>CUST1117</t>
  </si>
  <si>
    <t>Perfume</t>
  </si>
  <si>
    <t>ORD10162</t>
  </si>
  <si>
    <t>CUST1192</t>
  </si>
  <si>
    <t>ORD10119</t>
  </si>
  <si>
    <t>CUST1073</t>
  </si>
  <si>
    <t>Backpack</t>
  </si>
  <si>
    <t>ORD10011</t>
  </si>
  <si>
    <t>CUST1179</t>
  </si>
  <si>
    <t>ORD10305</t>
  </si>
  <si>
    <t>CUST1224</t>
  </si>
  <si>
    <t>ORD10070</t>
  </si>
  <si>
    <t>CUST1015</t>
  </si>
  <si>
    <t>Bluetooth Speaker</t>
  </si>
  <si>
    <t>ORD10100</t>
  </si>
  <si>
    <t>CUST1082</t>
  </si>
  <si>
    <t>ORD10146</t>
  </si>
  <si>
    <t>CUST1188</t>
  </si>
  <si>
    <t>Hoodie</t>
  </si>
  <si>
    <t>ORD10186</t>
  </si>
  <si>
    <t>CUST1276</t>
  </si>
  <si>
    <t>ORD10022</t>
  </si>
  <si>
    <t>CUST1116</t>
  </si>
  <si>
    <t>Casual Shirt</t>
  </si>
  <si>
    <t>ORD10078</t>
  </si>
  <si>
    <t>CUST1329</t>
  </si>
  <si>
    <t>ORD10173</t>
  </si>
  <si>
    <t>CUST1068</t>
  </si>
  <si>
    <t>ORD10198</t>
  </si>
  <si>
    <t>CUST1214</t>
  </si>
  <si>
    <t>ORD10412</t>
  </si>
  <si>
    <t>CUST1105</t>
  </si>
  <si>
    <t>ORD10087</t>
  </si>
  <si>
    <t>CUST1218</t>
  </si>
  <si>
    <t>ORD10041</t>
  </si>
  <si>
    <t>CUST1090</t>
  </si>
  <si>
    <t>ORD10147</t>
  </si>
  <si>
    <t>CUST1221</t>
  </si>
  <si>
    <t>ORD10287</t>
  </si>
  <si>
    <t>CUST1079</t>
  </si>
  <si>
    <t>ORD10384</t>
  </si>
  <si>
    <t>CUST1299</t>
  </si>
  <si>
    <t>ORD10286</t>
  </si>
  <si>
    <t>CUST1059</t>
  </si>
  <si>
    <t>Power Bank</t>
  </si>
  <si>
    <t>ORD10113</t>
  </si>
  <si>
    <t>ORD10111</t>
  </si>
  <si>
    <t>CUST1149</t>
  </si>
  <si>
    <t>Electric Kettle</t>
  </si>
  <si>
    <t>ORD10131</t>
  </si>
  <si>
    <t>CUST1074</t>
  </si>
  <si>
    <t>ORD10438</t>
  </si>
  <si>
    <t>CUST1118</t>
  </si>
  <si>
    <t>Mixer Grinder</t>
  </si>
  <si>
    <t>ORD10164</t>
  </si>
  <si>
    <t>CUST1310</t>
  </si>
  <si>
    <t>ORD10214</t>
  </si>
  <si>
    <t>CUST1254</t>
  </si>
  <si>
    <t>ORD10498</t>
  </si>
  <si>
    <t>CUST1244</t>
  </si>
  <si>
    <t>ORD10291</t>
  </si>
  <si>
    <t>ORD10434</t>
  </si>
  <si>
    <t>CUST1173</t>
  </si>
  <si>
    <t>ORD10497</t>
  </si>
  <si>
    <t>CUST1034</t>
  </si>
  <si>
    <t>ORD10385</t>
  </si>
  <si>
    <t>CUST1007</t>
  </si>
  <si>
    <t>ORD10433</t>
  </si>
  <si>
    <t>CUST1314</t>
  </si>
  <si>
    <t>ORD10441</t>
  </si>
  <si>
    <t>ORD10010</t>
  </si>
  <si>
    <t>CUST1227</t>
  </si>
  <si>
    <t>Skincare Set</t>
  </si>
  <si>
    <t>ORD10475</t>
  </si>
  <si>
    <t>CUST1029</t>
  </si>
  <si>
    <t>ORD10149</t>
  </si>
  <si>
    <t>CUST1024</t>
  </si>
  <si>
    <t>ORD10350</t>
  </si>
  <si>
    <t>CUST1303</t>
  </si>
  <si>
    <t>ORD10083</t>
  </si>
  <si>
    <t>CUST1157</t>
  </si>
  <si>
    <t>ORD10319</t>
  </si>
  <si>
    <t>ORD10365</t>
  </si>
  <si>
    <t>CUST1347</t>
  </si>
  <si>
    <t>ORD10055</t>
  </si>
  <si>
    <t>ORD10259</t>
  </si>
  <si>
    <t>CUST1210</t>
  </si>
  <si>
    <t>ORD10110</t>
  </si>
  <si>
    <t>CUST1012</t>
  </si>
  <si>
    <t>ORD10462</t>
  </si>
  <si>
    <t>ORD10231</t>
  </si>
  <si>
    <t>CUST1197</t>
  </si>
  <si>
    <t>ORD10220</t>
  </si>
  <si>
    <t>CUST1129</t>
  </si>
  <si>
    <t>ORD10254</t>
  </si>
  <si>
    <t>ORD10493</t>
  </si>
  <si>
    <t>CUST1296</t>
  </si>
  <si>
    <t>ORD10459</t>
  </si>
  <si>
    <t>CUST1337</t>
  </si>
  <si>
    <t>ORD10108</t>
  </si>
  <si>
    <t>ORD10181</t>
  </si>
  <si>
    <t>CUST1348</t>
  </si>
  <si>
    <t>ORD10174</t>
  </si>
  <si>
    <t>CUST1049</t>
  </si>
  <si>
    <t>ORD10190</t>
  </si>
  <si>
    <t>CUST1178</t>
  </si>
  <si>
    <t>ORD10121</t>
  </si>
  <si>
    <t>ORD10366</t>
  </si>
  <si>
    <t>CUST1136</t>
  </si>
  <si>
    <t>ORD10273</t>
  </si>
  <si>
    <t>CUST1005</t>
  </si>
  <si>
    <t>ORD10382</t>
  </si>
  <si>
    <t>CUST1142</t>
  </si>
  <si>
    <t>ORD10388</t>
  </si>
  <si>
    <t>CUST1251</t>
  </si>
  <si>
    <t>ORD10440</t>
  </si>
  <si>
    <t>ORD10165</t>
  </si>
  <si>
    <t>CUST1291</t>
  </si>
  <si>
    <t>ORD10280</t>
  </si>
  <si>
    <t>CUST1201</t>
  </si>
  <si>
    <t>ORD10247</t>
  </si>
  <si>
    <t>CUST1016</t>
  </si>
  <si>
    <t>ORD10333</t>
  </si>
  <si>
    <t>ORD10351</t>
  </si>
  <si>
    <t>CUST1052</t>
  </si>
  <si>
    <t>ORD10500</t>
  </si>
  <si>
    <t>CUST1330</t>
  </si>
  <si>
    <t>ORD10178</t>
  </si>
  <si>
    <t>ORD10145</t>
  </si>
  <si>
    <t>CUST1318</t>
  </si>
  <si>
    <t>ORD10017</t>
  </si>
  <si>
    <t>CUST1126</t>
  </si>
  <si>
    <t>ORD10225</t>
  </si>
  <si>
    <t>CUST1161</t>
  </si>
  <si>
    <t>ORD10276</t>
  </si>
  <si>
    <t>CUST1328</t>
  </si>
  <si>
    <t>ORD10364</t>
  </si>
  <si>
    <t>CUST1339</t>
  </si>
  <si>
    <t>ORD10136</t>
  </si>
  <si>
    <t>CUST1084</t>
  </si>
  <si>
    <t>ORD10321</t>
  </si>
  <si>
    <t>CUST1239</t>
  </si>
  <si>
    <t>ORD10491</t>
  </si>
  <si>
    <t>CUST1158</t>
  </si>
  <si>
    <t>Makeup Kit</t>
  </si>
  <si>
    <t>ORD10099</t>
  </si>
  <si>
    <t>CUST1223</t>
  </si>
  <si>
    <t>ORD10144</t>
  </si>
  <si>
    <t>CUST1123</t>
  </si>
  <si>
    <t>ORD10307</t>
  </si>
  <si>
    <t>CUST1156</t>
  </si>
  <si>
    <t>ORD10468</t>
  </si>
  <si>
    <t>CUST1246</t>
  </si>
  <si>
    <t>ORD10228</t>
  </si>
  <si>
    <t>ORD10123</t>
  </si>
  <si>
    <t>CUST1003</t>
  </si>
  <si>
    <t>ORD10152</t>
  </si>
  <si>
    <t>CUST1041</t>
  </si>
  <si>
    <t>ORD10294</t>
  </si>
  <si>
    <t>CUST1028</t>
  </si>
  <si>
    <t>ORD10328</t>
  </si>
  <si>
    <t>ORD10142</t>
  </si>
  <si>
    <t>CUST1080</t>
  </si>
  <si>
    <t>ORD10236</t>
  </si>
  <si>
    <t>CUST1154</t>
  </si>
  <si>
    <t>ORD10325</t>
  </si>
  <si>
    <t>CUST1271</t>
  </si>
  <si>
    <t>ORD10360</t>
  </si>
  <si>
    <t>ORD10210</t>
  </si>
  <si>
    <t>CUST1219</t>
  </si>
  <si>
    <t>ORD10233</t>
  </si>
  <si>
    <t>CUST1283</t>
  </si>
  <si>
    <t>ORD10272</t>
  </si>
  <si>
    <t>CUST1101</t>
  </si>
  <si>
    <t>ORD10122</t>
  </si>
  <si>
    <t>ORD10171</t>
  </si>
  <si>
    <t>CUST1036</t>
  </si>
  <si>
    <t>ORD10209</t>
  </si>
  <si>
    <t>CUST1261</t>
  </si>
  <si>
    <t>ORD10418</t>
  </si>
  <si>
    <t>CUST1094</t>
  </si>
  <si>
    <t>ORD10104</t>
  </si>
  <si>
    <t>ORD10456</t>
  </si>
  <si>
    <t>CUST1273</t>
  </si>
  <si>
    <t>ORD10065</t>
  </si>
  <si>
    <t>CUST1184</t>
  </si>
  <si>
    <t>ORD10297</t>
  </si>
  <si>
    <t>CUST1346</t>
  </si>
  <si>
    <t>ORD10485</t>
  </si>
  <si>
    <t>CUST1006</t>
  </si>
  <si>
    <t>ORD10211</t>
  </si>
  <si>
    <t>CUST1014</t>
  </si>
  <si>
    <t>ORD10383</t>
  </si>
  <si>
    <t>ORD10096</t>
  </si>
  <si>
    <t>CUST1266</t>
  </si>
  <si>
    <t>ORD10278</t>
  </si>
  <si>
    <t>CUST1204</t>
  </si>
  <si>
    <t>ORD10315</t>
  </si>
  <si>
    <t>CUST1193</t>
  </si>
  <si>
    <t>ORD10028</t>
  </si>
  <si>
    <t>ORD10216</t>
  </si>
  <si>
    <t>CUST1146</t>
  </si>
  <si>
    <t>ORD10476</t>
  </si>
  <si>
    <t>CUST1236</t>
  </si>
  <si>
    <t>ORD10057</t>
  </si>
  <si>
    <t>CUST1217</t>
  </si>
  <si>
    <t>ORD10161</t>
  </si>
  <si>
    <t>CUST1076</t>
  </si>
  <si>
    <t>ORD10298</t>
  </si>
  <si>
    <t>CUST1187</t>
  </si>
  <si>
    <t>ORD10124</t>
  </si>
  <si>
    <t>ORD10374</t>
  </si>
  <si>
    <t>CUST1104</t>
  </si>
  <si>
    <t>ORD10156</t>
  </si>
  <si>
    <t>CUST1207</t>
  </si>
  <si>
    <t>ORD10268</t>
  </si>
  <si>
    <t>CUST1285</t>
  </si>
  <si>
    <t>ORD10480</t>
  </si>
  <si>
    <t>CUST1077</t>
  </si>
  <si>
    <t>ORD10332</t>
  </si>
  <si>
    <t>ORD10035</t>
  </si>
  <si>
    <t>CUST1048</t>
  </si>
  <si>
    <t>ORD10357</t>
  </si>
  <si>
    <t>ORD10189</t>
  </si>
  <si>
    <t>CUST1349</t>
  </si>
  <si>
    <t>ORD10238</t>
  </si>
  <si>
    <t>CUST1163</t>
  </si>
  <si>
    <t>ORD10478</t>
  </si>
  <si>
    <t>ORD10091</t>
  </si>
  <si>
    <t>CUST1294</t>
  </si>
  <si>
    <t>ORD10341</t>
  </si>
  <si>
    <t>CUST1176</t>
  </si>
  <si>
    <t>ORD10353</t>
  </si>
  <si>
    <t>ORD10334</t>
  </si>
  <si>
    <t>ORD10445</t>
  </si>
  <si>
    <t>CUST1327</t>
  </si>
  <si>
    <t>ORD10020</t>
  </si>
  <si>
    <t>CUST1151</t>
  </si>
  <si>
    <t>ORD10295</t>
  </si>
  <si>
    <t>ORD10407</t>
  </si>
  <si>
    <t>ORD10453</t>
  </si>
  <si>
    <t>ORD10115</t>
  </si>
  <si>
    <t>CUST1039</t>
  </si>
  <si>
    <t>ORD10288</t>
  </si>
  <si>
    <t>CUST1320</t>
  </si>
  <si>
    <t>ORD10267</t>
  </si>
  <si>
    <t>CUST1245</t>
  </si>
  <si>
    <t>ORD10381</t>
  </si>
  <si>
    <t>CUST1345</t>
  </si>
  <si>
    <t>ORD10452</t>
  </si>
  <si>
    <t>CUST1162</t>
  </si>
  <si>
    <t>ORD10024</t>
  </si>
  <si>
    <t>CUST1128</t>
  </si>
  <si>
    <t>ORD10093</t>
  </si>
  <si>
    <t>ORD10163</t>
  </si>
  <si>
    <t>CUST1102</t>
  </si>
  <si>
    <t>ORD10097</t>
  </si>
  <si>
    <t>CUST1247</t>
  </si>
  <si>
    <t>ORD10413</t>
  </si>
  <si>
    <t>ORD10222</t>
  </si>
  <si>
    <t>CUST1070</t>
  </si>
  <si>
    <t>ORD10454</t>
  </si>
  <si>
    <t>ORD10081</t>
  </si>
  <si>
    <t>ORD10391</t>
  </si>
  <si>
    <t>CUST1096</t>
  </si>
  <si>
    <t>Hair Dryer</t>
  </si>
  <si>
    <t>ORD10421</t>
  </si>
  <si>
    <t>ORD10048</t>
  </si>
  <si>
    <t>CUST1321</t>
  </si>
  <si>
    <t>ORD10312</t>
  </si>
  <si>
    <t>CUST1141</t>
  </si>
  <si>
    <t>ORD10427</t>
  </si>
  <si>
    <t>CUST1125</t>
  </si>
  <si>
    <t>ORD10052</t>
  </si>
  <si>
    <t>CUST1020</t>
  </si>
  <si>
    <t>ORD10199</t>
  </si>
  <si>
    <t>CUST1043</t>
  </si>
  <si>
    <t>ORD10245</t>
  </si>
  <si>
    <t>CUST1120</t>
  </si>
  <si>
    <t>ORD10358</t>
  </si>
  <si>
    <t>ORD10227</t>
  </si>
  <si>
    <t>CUST1112</t>
  </si>
  <si>
    <t>ORD10494</t>
  </si>
  <si>
    <t>CUST1297</t>
  </si>
  <si>
    <t>ORD10221</t>
  </si>
  <si>
    <t>CUST1106</t>
  </si>
  <si>
    <t>ORD10196</t>
  </si>
  <si>
    <t>ORD10159</t>
  </si>
  <si>
    <t>CUST1336</t>
  </si>
  <si>
    <t>ORD10426</t>
  </si>
  <si>
    <t>CUST1259</t>
  </si>
  <si>
    <t>ORD10436</t>
  </si>
  <si>
    <t>ORD10282</t>
  </si>
  <si>
    <t>CUST1145</t>
  </si>
  <si>
    <t>ORD10471</t>
  </si>
  <si>
    <t>CUST1334</t>
  </si>
  <si>
    <t>ORD10203</t>
  </si>
  <si>
    <t>CUST1160</t>
  </si>
  <si>
    <t>ORD10457</t>
  </si>
  <si>
    <t>CUST1095</t>
  </si>
  <si>
    <t>ORD10241</t>
  </si>
  <si>
    <t>CUST1302</t>
  </si>
  <si>
    <t>ORD10043</t>
  </si>
  <si>
    <t>ORD10416</t>
  </si>
  <si>
    <t>ORD10066</t>
  </si>
  <si>
    <t>CUST1170</t>
  </si>
  <si>
    <t>ORD10125</t>
  </si>
  <si>
    <t>CUST1124</t>
  </si>
  <si>
    <t>ORD10042</t>
  </si>
  <si>
    <t>CUST1164</t>
  </si>
  <si>
    <t>ORD10326</t>
  </si>
  <si>
    <t>ORD10139</t>
  </si>
  <si>
    <t>CUST1153</t>
  </si>
  <si>
    <t>ORD10249</t>
  </si>
  <si>
    <t>CUST1332</t>
  </si>
  <si>
    <t>ORD10224</t>
  </si>
  <si>
    <t>CUST1313</t>
  </si>
  <si>
    <t>ORD10158</t>
  </si>
  <si>
    <t>ORD10103</t>
  </si>
  <si>
    <t>CUST1004</t>
  </si>
  <si>
    <t>ORD10088</t>
  </si>
  <si>
    <t>CUST1293</t>
  </si>
  <si>
    <t>ORD10230</t>
  </si>
  <si>
    <t>CUST1066</t>
  </si>
  <si>
    <t>ORD10068</t>
  </si>
  <si>
    <t>CUST1113</t>
  </si>
  <si>
    <t>ORD10301</t>
  </si>
  <si>
    <t>ORD10349</t>
  </si>
  <si>
    <t>CUST1242</t>
  </si>
  <si>
    <t>ORD10008</t>
  </si>
  <si>
    <t>CUST1344</t>
  </si>
  <si>
    <t>ORD10177</t>
  </si>
  <si>
    <t>ORD10037</t>
  </si>
  <si>
    <t>CUST1341</t>
  </si>
  <si>
    <t>ORD10167</t>
  </si>
  <si>
    <t>CUST1343</t>
  </si>
  <si>
    <t>ORD10047</t>
  </si>
  <si>
    <t>CUST1253</t>
  </si>
  <si>
    <t>ORD10387</t>
  </si>
  <si>
    <t>CUST1119</t>
  </si>
  <si>
    <t>ORD10127</t>
  </si>
  <si>
    <t>CUST1289</t>
  </si>
  <si>
    <t>ORD10077</t>
  </si>
  <si>
    <t>ORD10134</t>
  </si>
  <si>
    <t>CUST1058</t>
  </si>
  <si>
    <t>ORD10237</t>
  </si>
  <si>
    <t>CUST1213</t>
  </si>
  <si>
    <t>ORD10223</t>
  </si>
  <si>
    <t>ORD10275</t>
  </si>
  <si>
    <t>ORD10084</t>
  </si>
  <si>
    <t>CUST1196</t>
  </si>
  <si>
    <t>ORD10053</t>
  </si>
  <si>
    <t>ORD10206</t>
  </si>
  <si>
    <t>ORD10293</t>
  </si>
  <si>
    <t>ORD10386</t>
  </si>
  <si>
    <t>ORD10330</t>
  </si>
  <si>
    <t>ORD10012</t>
  </si>
  <si>
    <t>ORD10143</t>
  </si>
  <si>
    <t>CUST1103</t>
  </si>
  <si>
    <t>ORD10195</t>
  </si>
  <si>
    <t>CUST1191</t>
  </si>
  <si>
    <t>ORD10013</t>
  </si>
  <si>
    <t>CUST1044</t>
  </si>
  <si>
    <t>ORD10229</t>
  </si>
  <si>
    <t>ORD10461</t>
  </si>
  <si>
    <t>ORD10185</t>
  </si>
  <si>
    <t>ORD10359</t>
  </si>
  <si>
    <t>CUST1305</t>
  </si>
  <si>
    <t>ORD10355</t>
  </si>
  <si>
    <t>CUST1209</t>
  </si>
  <si>
    <t>ORD10409</t>
  </si>
  <si>
    <t>ORD10343</t>
  </si>
  <si>
    <t>ORD10126</t>
  </si>
  <si>
    <t>CUST1081</t>
  </si>
  <si>
    <t>ORD10038</t>
  </si>
  <si>
    <t>CUST1250</t>
  </si>
  <si>
    <t>ORD10219</t>
  </si>
  <si>
    <t>CUST1069</t>
  </si>
  <si>
    <t>ORD10324</t>
  </si>
  <si>
    <t>ORD10207</t>
  </si>
  <si>
    <t>ORD10375</t>
  </si>
  <si>
    <t>CUST1287</t>
  </si>
  <si>
    <t>ORD10015</t>
  </si>
  <si>
    <t>CUST1315</t>
  </si>
  <si>
    <t>ORD10192</t>
  </si>
  <si>
    <t>CUST1231</t>
  </si>
  <si>
    <t>ORD10086</t>
  </si>
  <si>
    <t>CUST1282</t>
  </si>
  <si>
    <t>ORD10154</t>
  </si>
  <si>
    <t>CUST1195</t>
  </si>
  <si>
    <t>ORD10021</t>
  </si>
  <si>
    <t>CUST1140</t>
  </si>
  <si>
    <t>ORD10176</t>
  </si>
  <si>
    <t>ORD10313</t>
  </si>
  <si>
    <t>CUST1323</t>
  </si>
  <si>
    <t>ORD10368</t>
  </si>
  <si>
    <t>ORD10166</t>
  </si>
  <si>
    <t>CUST1304</t>
  </si>
  <si>
    <t>ORD10061</t>
  </si>
  <si>
    <t>ORD10232</t>
  </si>
  <si>
    <t>ORD10261</t>
  </si>
  <si>
    <t>ORD10034</t>
  </si>
  <si>
    <t>ORD10007</t>
  </si>
  <si>
    <t>CUST1237</t>
  </si>
  <si>
    <t>ORD10001</t>
  </si>
  <si>
    <t>CUST1100</t>
  </si>
  <si>
    <t>ORD10138</t>
  </si>
  <si>
    <t>CUST1027</t>
  </si>
  <si>
    <t>ORD10036</t>
  </si>
  <si>
    <t>CUST1086</t>
  </si>
  <si>
    <t>ORD10308</t>
  </si>
  <si>
    <t>CUST1089</t>
  </si>
  <si>
    <t>ORD10140</t>
  </si>
  <si>
    <t>ORD10400</t>
  </si>
  <si>
    <t>ORD10443</t>
  </si>
  <si>
    <t>CUST1147</t>
  </si>
  <si>
    <t>ORD10473</t>
  </si>
  <si>
    <t>CUST1257</t>
  </si>
  <si>
    <t>ORD10401</t>
  </si>
  <si>
    <t>CUST1189</t>
  </si>
  <si>
    <t>ORD10244</t>
  </si>
  <si>
    <t>ORD10026</t>
  </si>
  <si>
    <t>CUST1017</t>
  </si>
  <si>
    <t>ORD10095</t>
  </si>
  <si>
    <t>CUST1194</t>
  </si>
  <si>
    <t>ORD10029</t>
  </si>
  <si>
    <t>ORD10148</t>
  </si>
  <si>
    <t>CUST1131</t>
  </si>
  <si>
    <t>ORD10204</t>
  </si>
  <si>
    <t>ORD10240</t>
  </si>
  <si>
    <t>ORD10489</t>
  </si>
  <si>
    <t>CUST1168</t>
  </si>
  <si>
    <t>ORD10264</t>
  </si>
  <si>
    <t>ORD10170</t>
  </si>
  <si>
    <t>CUST1350</t>
  </si>
  <si>
    <t>ORD10107</t>
  </si>
  <si>
    <t>CUST1232</t>
  </si>
  <si>
    <t>ORD10292</t>
  </si>
  <si>
    <t>ORD10408</t>
  </si>
  <si>
    <t>CUST1288</t>
  </si>
  <si>
    <t>ORD10151</t>
  </si>
  <si>
    <t>CUST1225</t>
  </si>
  <si>
    <t>ORD10347</t>
  </si>
  <si>
    <t>ORD10257</t>
  </si>
  <si>
    <t>CUST1215</t>
  </si>
  <si>
    <t>ORD10415</t>
  </si>
  <si>
    <t>CUST1091</t>
  </si>
  <si>
    <t>ORD10069</t>
  </si>
  <si>
    <t>ORD10239</t>
  </si>
  <si>
    <t>CUST1139</t>
  </si>
  <si>
    <t>ORD10063</t>
  </si>
  <si>
    <t>ORD10002</t>
  </si>
  <si>
    <t>CUST1022</t>
  </si>
  <si>
    <t>ORD10309</t>
  </si>
  <si>
    <t>ORD10352</t>
  </si>
  <si>
    <t>ORD10417</t>
  </si>
  <si>
    <t>ORD10285</t>
  </si>
  <si>
    <t>CUST1054</t>
  </si>
  <si>
    <t>ORD10331</t>
  </si>
  <si>
    <t>ORD10345</t>
  </si>
  <si>
    <t>ORD10329</t>
  </si>
  <si>
    <t>ORD10448</t>
  </si>
  <si>
    <t>ORD10118</t>
  </si>
  <si>
    <t>CUST1340</t>
  </si>
  <si>
    <t>ORD10469</t>
  </si>
  <si>
    <t>CUST1306</t>
  </si>
  <si>
    <t>ORD10405</t>
  </si>
  <si>
    <t>ORD10169</t>
  </si>
  <si>
    <t>ORD10258</t>
  </si>
  <si>
    <t>ORD10039</t>
  </si>
  <si>
    <t>ORD10460</t>
  </si>
  <si>
    <t>CUST1212</t>
  </si>
  <si>
    <t>ORD10317</t>
  </si>
  <si>
    <t>CUST1109</t>
  </si>
  <si>
    <t>ORD10014</t>
  </si>
  <si>
    <t>CUST1121</t>
  </si>
  <si>
    <t>ORD10157</t>
  </si>
  <si>
    <t>ORD10482</t>
  </si>
  <si>
    <t>CUST1001</t>
  </si>
  <si>
    <t>ORD10128</t>
  </si>
  <si>
    <t>ORD10277</t>
  </si>
  <si>
    <t>ORD10327</t>
  </si>
  <si>
    <t>CUST1065</t>
  </si>
  <si>
    <t>ORD10373</t>
  </si>
  <si>
    <t>ORD10094</t>
  </si>
  <si>
    <t>CUST1211</t>
  </si>
  <si>
    <t>ORD10322</t>
  </si>
  <si>
    <t>ORD10490</t>
  </si>
  <si>
    <t>ORD10120</t>
  </si>
  <si>
    <t>CUST1319</t>
  </si>
  <si>
    <t>ORD10496</t>
  </si>
  <si>
    <t>ORD10090</t>
  </si>
  <si>
    <t>ORD10399</t>
  </si>
  <si>
    <t>CUST1013</t>
  </si>
  <si>
    <t>ORD10243</t>
  </si>
  <si>
    <t>ORD10054</t>
  </si>
  <si>
    <t>ORD10202</t>
  </si>
  <si>
    <t>CUST1169</t>
  </si>
  <si>
    <t>ORD10335</t>
  </si>
  <si>
    <t>ORD10150</t>
  </si>
  <si>
    <t>CUST1228</t>
  </si>
  <si>
    <t>ORD10168</t>
  </si>
  <si>
    <t>ORD10477</t>
  </si>
  <si>
    <t>ORD10404</t>
  </si>
  <si>
    <t>CUST1072</t>
  </si>
  <si>
    <t>ORD10318</t>
  </si>
  <si>
    <t>ORD10367</t>
  </si>
  <si>
    <t>ORD10371</t>
  </si>
  <si>
    <t>ORD10464</t>
  </si>
  <si>
    <t>CUST1267</t>
  </si>
  <si>
    <t>ORD10483</t>
  </si>
  <si>
    <t>CUST1279</t>
  </si>
  <si>
    <t>ORD10342</t>
  </si>
  <si>
    <t>CUST1132</t>
  </si>
  <si>
    <t>ORD10112</t>
  </si>
  <si>
    <t>CUST1026</t>
  </si>
  <si>
    <t>ORD10449</t>
  </si>
  <si>
    <t>ORD10160</t>
  </si>
  <si>
    <t>CUST1175</t>
  </si>
  <si>
    <t>ORD10411</t>
  </si>
  <si>
    <t>ORD10430</t>
  </si>
  <si>
    <t>ORD10212</t>
  </si>
  <si>
    <t>CUST1111</t>
  </si>
  <si>
    <t>ORD10260</t>
  </si>
  <si>
    <t>ORD10105</t>
  </si>
  <si>
    <t>CUST1098</t>
  </si>
  <si>
    <t>ORD10372</t>
  </si>
  <si>
    <t>ORD10414</t>
  </si>
  <si>
    <t>ORD10040</t>
  </si>
  <si>
    <t>ORD10283</t>
  </si>
  <si>
    <t>CUST1295</t>
  </si>
  <si>
    <t>ORD10361</t>
  </si>
  <si>
    <t>ORD10153</t>
  </si>
  <si>
    <t>ORD10425</t>
  </si>
  <si>
    <t>ORD10499</t>
  </si>
  <si>
    <t>CUST1272</t>
  </si>
  <si>
    <t>ORD10255</t>
  </si>
  <si>
    <t>CUST1183</t>
  </si>
  <si>
    <t>ORD10444</t>
  </si>
  <si>
    <t>CUST1138</t>
  </si>
  <si>
    <t>ORD10172</t>
  </si>
  <si>
    <t>CUST1220</t>
  </si>
  <si>
    <t>ORD10271</t>
  </si>
  <si>
    <t>ORD10370</t>
  </si>
  <si>
    <t>ORD10006</t>
  </si>
  <si>
    <t>ORD10072</t>
  </si>
  <si>
    <t>ORD10141</t>
  </si>
  <si>
    <t>CUST1166</t>
  </si>
  <si>
    <t>ORD10045</t>
  </si>
  <si>
    <t>CUST1144</t>
  </si>
  <si>
    <t>ORD10046</t>
  </si>
  <si>
    <t>CUST1042</t>
  </si>
  <si>
    <t>ORD10455</t>
  </si>
  <si>
    <t>ORD10439</t>
  </si>
  <si>
    <t>ORD10064</t>
  </si>
  <si>
    <t>CUST1235</t>
  </si>
  <si>
    <t>ORD10133</t>
  </si>
  <si>
    <t>ORD10338</t>
  </si>
  <si>
    <t>ORD10398</t>
  </si>
  <si>
    <t>CUST1256</t>
  </si>
  <si>
    <t>ORD10208</t>
  </si>
  <si>
    <t>ORD10406</t>
  </si>
  <si>
    <t>ORD10200</t>
  </si>
  <si>
    <t>ORD10132</t>
  </si>
  <si>
    <t>ORD10304</t>
  </si>
  <si>
    <t>CUST1159</t>
  </si>
  <si>
    <t>ORD10362</t>
  </si>
  <si>
    <t>ORD10117</t>
  </si>
  <si>
    <t>ORD10205</t>
  </si>
  <si>
    <t>ORD10354</t>
  </si>
  <si>
    <t>ORD10422</t>
  </si>
  <si>
    <t>ORD10018</t>
  </si>
  <si>
    <t>ORD10265</t>
  </si>
  <si>
    <t>ORD10023</t>
  </si>
  <si>
    <t>CUST1338</t>
  </si>
  <si>
    <t>ORD10348</t>
  </si>
  <si>
    <t>CUST1186</t>
  </si>
  <si>
    <t>ORD10299</t>
  </si>
  <si>
    <t>ORD10129</t>
  </si>
  <si>
    <t>ORD10420</t>
  </si>
  <si>
    <t>ORD10484</t>
  </si>
  <si>
    <t>CUST1092</t>
  </si>
  <si>
    <t>ORD10395</t>
  </si>
  <si>
    <t>ORD10488</t>
  </si>
  <si>
    <t>ORD10135</t>
  </si>
  <si>
    <t>CUST1075</t>
  </si>
  <si>
    <t>ORD10175</t>
  </si>
  <si>
    <t>ORD10248</t>
  </si>
  <si>
    <t>ORD10479</t>
  </si>
  <si>
    <t>ORD10344</t>
  </si>
  <si>
    <t>CUST1061</t>
  </si>
  <si>
    <t>ORD10059</t>
  </si>
  <si>
    <t>ORD10378</t>
  </si>
  <si>
    <t>ORD10098</t>
  </si>
  <si>
    <t>CUST1264</t>
  </si>
  <si>
    <t>ORD10060</t>
  </si>
  <si>
    <t>ORD10410</t>
  </si>
  <si>
    <t>ORD10435</t>
  </si>
  <si>
    <t>ORD10184</t>
  </si>
  <si>
    <t>CUST1143</t>
  </si>
  <si>
    <t>ORD10253</t>
  </si>
  <si>
    <t>CUST1177</t>
  </si>
  <si>
    <t>ORD10310</t>
  </si>
  <si>
    <t>ORD10263</t>
  </si>
  <si>
    <t>ORD10137</t>
  </si>
  <si>
    <t>ORD10106</t>
  </si>
  <si>
    <t>ORD10251</t>
  </si>
  <si>
    <t>ORD10376</t>
  </si>
  <si>
    <t>ORD10428</t>
  </si>
  <si>
    <t>ORD10183</t>
  </si>
  <si>
    <t>ORD10242</t>
  </si>
  <si>
    <t>ORD10058</t>
  </si>
  <si>
    <t>ORD10191</t>
  </si>
  <si>
    <t>ORD10492</t>
  </si>
  <si>
    <t>ORD10246</t>
  </si>
  <si>
    <t>ORD10403</t>
  </si>
  <si>
    <t>ORD10025</t>
  </si>
  <si>
    <t>CUST1226</t>
  </si>
  <si>
    <t>ORD10369</t>
  </si>
  <si>
    <t>ORD10180</t>
  </si>
  <si>
    <t>CUST1311</t>
  </si>
  <si>
    <t>ORD10009</t>
  </si>
  <si>
    <t>ORD10016</t>
  </si>
  <si>
    <t>ORD10336</t>
  </si>
  <si>
    <t>ORD10437</t>
  </si>
  <si>
    <t>ORD10450</t>
  </si>
  <si>
    <t>ORD10092</t>
  </si>
  <si>
    <t>CUST1180</t>
  </si>
  <si>
    <t>ORD10217</t>
  </si>
  <si>
    <t>ORD10027</t>
  </si>
  <si>
    <t>ORD10030</t>
  </si>
  <si>
    <t>ORD10466</t>
  </si>
  <si>
    <t>ORD10188</t>
  </si>
  <si>
    <t>ORD10071</t>
  </si>
  <si>
    <t>ORD10234</t>
  </si>
  <si>
    <t>CUST1260</t>
  </si>
  <si>
    <t>ORD10266</t>
  </si>
  <si>
    <t>ORD10392</t>
  </si>
  <si>
    <t>ORD10486</t>
  </si>
  <si>
    <t>CUST1301</t>
  </si>
  <si>
    <t>ORD10396</t>
  </si>
  <si>
    <t>ORD10226</t>
  </si>
  <si>
    <t>ORD10393</t>
  </si>
  <si>
    <t>ORD10256</t>
  </si>
  <si>
    <t>ORD10429</t>
  </si>
  <si>
    <t>CUST1229</t>
  </si>
  <si>
    <t>ORD10419</t>
  </si>
  <si>
    <t>ORD10114</t>
  </si>
  <si>
    <t>ORD10356</t>
  </si>
  <si>
    <t>CUST1206</t>
  </si>
  <si>
    <t>ORD10102</t>
  </si>
  <si>
    <t>ORD10269</t>
  </si>
  <si>
    <t>CUST1342</t>
  </si>
  <si>
    <t>ORD10074</t>
  </si>
  <si>
    <t>ORD10394</t>
  </si>
  <si>
    <t>CUST1208</t>
  </si>
  <si>
    <t>ORD10346</t>
  </si>
  <si>
    <t>ORD10431</t>
  </si>
  <si>
    <t>ORD10004</t>
  </si>
  <si>
    <t>ORD10262</t>
  </si>
  <si>
    <t>CUST1122</t>
  </si>
  <si>
    <t>ORD10109</t>
  </si>
  <si>
    <t>ORD10377</t>
  </si>
  <si>
    <t>ORD10458</t>
  </si>
  <si>
    <t>ORD10472</t>
  </si>
  <si>
    <t>ORD10019</t>
  </si>
  <si>
    <t>ORD10049</t>
  </si>
  <si>
    <t>CUST1167</t>
  </si>
  <si>
    <t>ORD10402</t>
  </si>
  <si>
    <t>ORD10031</t>
  </si>
  <si>
    <t>ORD10067</t>
  </si>
  <si>
    <t>ORD10470</t>
  </si>
  <si>
    <t>CUST1071</t>
  </si>
  <si>
    <t>ORD10116</t>
  </si>
  <si>
    <t>ORD10302</t>
  </si>
  <si>
    <t>ORD10085</t>
  </si>
  <si>
    <t>ORD10182</t>
  </si>
  <si>
    <t>ORD10073</t>
  </si>
  <si>
    <t>CUST1150</t>
  </si>
  <si>
    <t>ORD10481</t>
  </si>
  <si>
    <t>ORD10101</t>
  </si>
  <si>
    <t>ORD10044</t>
  </si>
  <si>
    <t>ORD10082</t>
  </si>
  <si>
    <t>CUST1309</t>
  </si>
  <si>
    <t>ORD10323</t>
  </si>
  <si>
    <t>CUST1202</t>
  </si>
  <si>
    <t>ORD10050</t>
  </si>
  <si>
    <t>CUST1317</t>
  </si>
  <si>
    <t>ORD10447</t>
  </si>
  <si>
    <t>CUST1182</t>
  </si>
  <si>
    <t>ORD10423</t>
  </si>
  <si>
    <t>ORD10213</t>
  </si>
  <si>
    <t>ORD10187</t>
  </si>
  <si>
    <t>CUST1238</t>
  </si>
  <si>
    <t>ORD10467</t>
  </si>
  <si>
    <t>ORD10235</t>
  </si>
  <si>
    <t>ORD10056</t>
  </si>
  <si>
    <t>ORD10080</t>
  </si>
  <si>
    <t>CUST1316</t>
  </si>
  <si>
    <t>ORD10279</t>
  </si>
  <si>
    <t>ORD10281</t>
  </si>
  <si>
    <t>ORD10075</t>
  </si>
  <si>
    <t>ORD10079</t>
  </si>
  <si>
    <t>ORD10442</t>
  </si>
  <si>
    <t>ORD10495</t>
  </si>
  <si>
    <t>ORD10130</t>
  </si>
  <si>
    <t>CUST1046</t>
  </si>
  <si>
    <t>ORD10397</t>
  </si>
  <si>
    <t>ORD10463</t>
  </si>
  <si>
    <t>ORD10197</t>
  </si>
  <si>
    <t>CUST1060</t>
  </si>
  <si>
    <t>ORD10270</t>
  </si>
  <si>
    <t>ORD10300</t>
  </si>
  <si>
    <t>ORD10274</t>
  </si>
  <si>
    <t>ORD10306</t>
  </si>
  <si>
    <t>ORD10218</t>
  </si>
  <si>
    <t>CUST1050</t>
  </si>
  <si>
    <t>ORD10250</t>
  </si>
  <si>
    <t>ORD10339</t>
  </si>
  <si>
    <t>ORD10340</t>
  </si>
  <si>
    <t>ORD10363</t>
  </si>
  <si>
    <t>ORD10003</t>
  </si>
  <si>
    <t>CUST1051</t>
  </si>
  <si>
    <t>ORD10179</t>
  </si>
  <si>
    <t>ORD10201</t>
  </si>
  <si>
    <t>ORD10380</t>
  </si>
  <si>
    <t>ORD10465</t>
  </si>
  <si>
    <t>ORD10389</t>
  </si>
  <si>
    <t>CUST1110</t>
  </si>
  <si>
    <t>ORD10005</t>
  </si>
  <si>
    <t>ORD10296</t>
  </si>
  <si>
    <t>ORD10284</t>
  </si>
  <si>
    <t>CUST1021</t>
  </si>
  <si>
    <t>ORD10290</t>
  </si>
  <si>
    <t>ORD10390</t>
  </si>
  <si>
    <t>ORD10303</t>
  </si>
  <si>
    <t>ORD10033</t>
  </si>
  <si>
    <t>ORD10379</t>
  </si>
  <si>
    <t>ORD10076</t>
  </si>
  <si>
    <t>ORD10193</t>
  </si>
  <si>
    <t>CUST1133</t>
  </si>
  <si>
    <t>ORD10194</t>
  </si>
  <si>
    <t>ORD10032</t>
  </si>
  <si>
    <t>ORD10424</t>
  </si>
  <si>
    <t>ORD10289</t>
  </si>
  <si>
    <t>CUST1083</t>
  </si>
  <si>
    <t>ORD10062</t>
  </si>
  <si>
    <t>CUST1335</t>
  </si>
  <si>
    <t>ORD10451</t>
  </si>
  <si>
    <t>ORD10316</t>
  </si>
  <si>
    <t>ORD10320</t>
  </si>
  <si>
    <t>ORD10252</t>
  </si>
  <si>
    <t>ORD10337</t>
  </si>
  <si>
    <t>ORD10487</t>
  </si>
  <si>
    <t>ORD10215</t>
  </si>
  <si>
    <t>ORD10432</t>
  </si>
  <si>
    <t>ORD10474</t>
  </si>
  <si>
    <t>ORD10311</t>
  </si>
  <si>
    <t>ORD10089</t>
  </si>
  <si>
    <t>ORD10155</t>
  </si>
  <si>
    <t>CUST1064</t>
  </si>
  <si>
    <t>ORD10314</t>
  </si>
  <si>
    <t>ORD10446</t>
  </si>
  <si>
    <t>E-Commerce Business Analytics</t>
  </si>
  <si>
    <t>Metric</t>
  </si>
  <si>
    <t>Value</t>
  </si>
  <si>
    <t>Total Revenue</t>
  </si>
  <si>
    <t>Total Cost</t>
  </si>
  <si>
    <t>Total Profit</t>
  </si>
  <si>
    <t>Total Orders</t>
  </si>
  <si>
    <t>Total Quatity Sold</t>
  </si>
  <si>
    <t>Average Order Values</t>
  </si>
  <si>
    <t xml:space="preserve">Unique Customers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</si>
</sst>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£&quot;#,##0.00"/>
    <numFmt numFmtId="165" formatCode="mmm\ yyyy"/>
    <numFmt numFmtId="166" formatCode="[$₹-4009]\ #,##0.00"/>
  </numFmts>
  <fonts count="13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scheme val="minor"/>
    </font>
    <font>
      <sz val="12"/>
      <color rgb="FF00000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3.5"/>
      <color rgb="FF000000"/>
      <name val="Calibri"/>
      <family val="2"/>
      <scheme val="minor"/>
    </font>
    <font>
      <sz val="2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1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22" fontId="1" fillId="0" borderId="0" xfId="0" applyNumberFormat="1" applyFont="1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pivotButton="1"/>
    <xf numFmtId="164" fontId="0" fillId="0" borderId="0" xfId="0" applyNumberFormat="1"/>
    <xf numFmtId="0" fontId="0" fillId="0" borderId="0" xfId="0" applyNumberFormat="1"/>
    <xf numFmtId="165" fontId="0" fillId="0" borderId="0" xfId="0" applyNumberFormat="1" applyAlignment="1">
      <alignment horizontal="center"/>
    </xf>
    <xf numFmtId="165" fontId="1" fillId="0" borderId="0" xfId="0" applyNumberFormat="1" applyFont="1" applyAlignment="1">
      <alignment horizontal="center"/>
    </xf>
    <xf numFmtId="165" fontId="0" fillId="0" borderId="0" xfId="0" applyNumberFormat="1"/>
    <xf numFmtId="10" fontId="0" fillId="0" borderId="0" xfId="0" applyNumberFormat="1"/>
    <xf numFmtId="0" fontId="2" fillId="2" borderId="0" xfId="0" applyFont="1" applyFill="1"/>
    <xf numFmtId="0" fontId="0" fillId="3" borderId="0" xfId="0" applyFill="1"/>
    <xf numFmtId="0" fontId="4" fillId="0" borderId="0" xfId="0" applyFont="1" applyAlignment="1">
      <alignment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0" fillId="4" borderId="0" xfId="0" applyFill="1"/>
    <xf numFmtId="0" fontId="2" fillId="4" borderId="0" xfId="0" applyFont="1" applyFill="1"/>
    <xf numFmtId="0" fontId="7" fillId="4" borderId="0" xfId="0" applyFont="1" applyFill="1"/>
    <xf numFmtId="0" fontId="8" fillId="0" borderId="0" xfId="0" applyFont="1"/>
    <xf numFmtId="0" fontId="9" fillId="4" borderId="0" xfId="0" applyFont="1" applyFill="1"/>
    <xf numFmtId="0" fontId="8" fillId="3" borderId="0" xfId="0" applyFont="1" applyFill="1"/>
    <xf numFmtId="0" fontId="11" fillId="3" borderId="0" xfId="0" applyFont="1" applyFill="1"/>
    <xf numFmtId="10" fontId="11" fillId="3" borderId="0" xfId="0" applyNumberFormat="1" applyFont="1" applyFill="1"/>
    <xf numFmtId="0" fontId="8" fillId="3" borderId="0" xfId="0" applyFont="1" applyFill="1" applyAlignment="1">
      <alignment horizontal="left"/>
    </xf>
    <xf numFmtId="0" fontId="12" fillId="0" borderId="0" xfId="0" applyFont="1"/>
    <xf numFmtId="166" fontId="10" fillId="3" borderId="0" xfId="0" applyNumberFormat="1" applyFont="1" applyFill="1"/>
    <xf numFmtId="166" fontId="11" fillId="3" borderId="0" xfId="0" applyNumberFormat="1" applyFont="1" applyFill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164" formatCode="&quot;£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164" formatCode="&quot;£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164" formatCode="&quot;£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165" formatCode="mmm\ 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27" formatCode="dd/mm/yyyy\ hh:mm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1.xlsx]category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analysis'!$A$2:$A$6</c:f>
              <c:strCache>
                <c:ptCount val="4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Home &amp; Kitchen</c:v>
                </c:pt>
              </c:strCache>
            </c:strRef>
          </c:cat>
          <c:val>
            <c:numRef>
              <c:f>'category analysis'!$B$2:$B$6</c:f>
              <c:numCache>
                <c:formatCode>"£"#,##0.00</c:formatCode>
                <c:ptCount val="4"/>
                <c:pt idx="0">
                  <c:v>348142.5</c:v>
                </c:pt>
                <c:pt idx="1">
                  <c:v>666129.5</c:v>
                </c:pt>
                <c:pt idx="2">
                  <c:v>493551.5</c:v>
                </c:pt>
                <c:pt idx="3">
                  <c:v>794730.5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9-4825-9806-9C6B7AF76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6426887"/>
        <c:axId val="1186428935"/>
      </c:barChart>
      <c:catAx>
        <c:axId val="1186426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428935"/>
        <c:crosses val="autoZero"/>
        <c:auto val="1"/>
        <c:lblAlgn val="ctr"/>
        <c:lblOffset val="100"/>
        <c:noMultiLvlLbl val="0"/>
      </c:catAx>
      <c:valAx>
        <c:axId val="1186428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426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1.xlsx]Regional_Analysis!PivotTable1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Regional_Analysis!$B$3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Regional_Analysis!$A$4:$A$8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Regional_Analysis!$B$4:$B$8</c:f>
              <c:numCache>
                <c:formatCode>"£"#,##0.00</c:formatCode>
                <c:ptCount val="4"/>
                <c:pt idx="0">
                  <c:v>337615</c:v>
                </c:pt>
                <c:pt idx="1">
                  <c:v>549519</c:v>
                </c:pt>
                <c:pt idx="2">
                  <c:v>778244</c:v>
                </c:pt>
                <c:pt idx="3">
                  <c:v>637176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70-48DD-B3E2-703695030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9923591"/>
        <c:axId val="969925639"/>
      </c:barChart>
      <c:catAx>
        <c:axId val="969923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925639"/>
        <c:crosses val="autoZero"/>
        <c:auto val="1"/>
        <c:lblAlgn val="ctr"/>
        <c:lblOffset val="100"/>
        <c:noMultiLvlLbl val="0"/>
      </c:catAx>
      <c:valAx>
        <c:axId val="969925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923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1.xlsx]Product_Analysis!PivotTable2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Products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Product_Analysis!$B$3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Product_Analysis!$A$4:$A$9</c:f>
              <c:strCache>
                <c:ptCount val="5"/>
                <c:pt idx="0">
                  <c:v>Air Fryer</c:v>
                </c:pt>
                <c:pt idx="1">
                  <c:v>Coffee Maker</c:v>
                </c:pt>
                <c:pt idx="2">
                  <c:v>Smart Watch</c:v>
                </c:pt>
                <c:pt idx="3">
                  <c:v>Sneakers</c:v>
                </c:pt>
                <c:pt idx="4">
                  <c:v>Wireless Earbuds</c:v>
                </c:pt>
              </c:strCache>
            </c:strRef>
          </c:cat>
          <c:val>
            <c:numRef>
              <c:f>Product_Analysis!$B$4:$B$9</c:f>
              <c:numCache>
                <c:formatCode>General</c:formatCode>
                <c:ptCount val="5"/>
                <c:pt idx="0">
                  <c:v>91731.67</c:v>
                </c:pt>
                <c:pt idx="1">
                  <c:v>71130.570000000022</c:v>
                </c:pt>
                <c:pt idx="2">
                  <c:v>67763.289999999979</c:v>
                </c:pt>
                <c:pt idx="3">
                  <c:v>57020.630000000005</c:v>
                </c:pt>
                <c:pt idx="4">
                  <c:v>65109.78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5A-4B8D-9CB2-3190C3929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0029319"/>
        <c:axId val="597152775"/>
      </c:barChart>
      <c:catAx>
        <c:axId val="1150029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152775"/>
        <c:crosses val="autoZero"/>
        <c:auto val="1"/>
        <c:lblAlgn val="ctr"/>
        <c:lblOffset val="100"/>
        <c:noMultiLvlLbl val="0"/>
      </c:catAx>
      <c:valAx>
        <c:axId val="597152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29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1.xlsx]Monthly_Analysis!PivotTable4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Monthly_Analysis!$B$3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Monthly_Analysis!$A$4:$A$24</c:f>
              <c:strCache>
                <c:ptCount val="20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  <c:pt idx="9">
                  <c:v>Oct 2025</c:v>
                </c:pt>
                <c:pt idx="10">
                  <c:v>Nov 2025</c:v>
                </c:pt>
                <c:pt idx="11">
                  <c:v>Dec 2025</c:v>
                </c:pt>
                <c:pt idx="12">
                  <c:v>Jan 2026</c:v>
                </c:pt>
                <c:pt idx="13">
                  <c:v>Feb 2026</c:v>
                </c:pt>
                <c:pt idx="14">
                  <c:v>Mar 2026</c:v>
                </c:pt>
                <c:pt idx="15">
                  <c:v>Apr 2026</c:v>
                </c:pt>
                <c:pt idx="16">
                  <c:v>May 2026</c:v>
                </c:pt>
                <c:pt idx="17">
                  <c:v>Jun 2026</c:v>
                </c:pt>
                <c:pt idx="18">
                  <c:v>Jul 2026</c:v>
                </c:pt>
                <c:pt idx="19">
                  <c:v>Aug 2026</c:v>
                </c:pt>
              </c:strCache>
            </c:strRef>
          </c:cat>
          <c:val>
            <c:numRef>
              <c:f>Monthly_Analysis!$B$4:$B$24</c:f>
              <c:numCache>
                <c:formatCode>"£"#,##0.00</c:formatCode>
                <c:ptCount val="20"/>
                <c:pt idx="0">
                  <c:v>137766</c:v>
                </c:pt>
                <c:pt idx="1">
                  <c:v>105568</c:v>
                </c:pt>
                <c:pt idx="2">
                  <c:v>133660</c:v>
                </c:pt>
                <c:pt idx="3">
                  <c:v>153271</c:v>
                </c:pt>
                <c:pt idx="4">
                  <c:v>67031.5</c:v>
                </c:pt>
                <c:pt idx="5">
                  <c:v>112395.5</c:v>
                </c:pt>
                <c:pt idx="6">
                  <c:v>109816.5</c:v>
                </c:pt>
                <c:pt idx="7">
                  <c:v>143219</c:v>
                </c:pt>
                <c:pt idx="8">
                  <c:v>118736.5</c:v>
                </c:pt>
                <c:pt idx="9">
                  <c:v>125577.5</c:v>
                </c:pt>
                <c:pt idx="10">
                  <c:v>91974.5</c:v>
                </c:pt>
                <c:pt idx="11">
                  <c:v>90425.5</c:v>
                </c:pt>
                <c:pt idx="12">
                  <c:v>146794</c:v>
                </c:pt>
                <c:pt idx="13">
                  <c:v>80188.5</c:v>
                </c:pt>
                <c:pt idx="14">
                  <c:v>121808</c:v>
                </c:pt>
                <c:pt idx="15">
                  <c:v>101641</c:v>
                </c:pt>
                <c:pt idx="16">
                  <c:v>141617.5</c:v>
                </c:pt>
                <c:pt idx="17">
                  <c:v>52539</c:v>
                </c:pt>
                <c:pt idx="18">
                  <c:v>213056.5</c:v>
                </c:pt>
                <c:pt idx="19">
                  <c:v>55468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10-40C8-AF85-89B0F669D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581511"/>
        <c:axId val="969907207"/>
      </c:lineChart>
      <c:catAx>
        <c:axId val="858581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907207"/>
        <c:crosses val="autoZero"/>
        <c:auto val="1"/>
        <c:lblAlgn val="ctr"/>
        <c:lblOffset val="100"/>
        <c:noMultiLvlLbl val="0"/>
      </c:catAx>
      <c:valAx>
        <c:axId val="969907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581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1.xlsx]Monthly_Analysis!PivotTable4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Monthly_Analysis!$B$3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Monthly_Analysis!$A$4:$A$24</c:f>
              <c:strCache>
                <c:ptCount val="20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  <c:pt idx="9">
                  <c:v>Oct 2025</c:v>
                </c:pt>
                <c:pt idx="10">
                  <c:v>Nov 2025</c:v>
                </c:pt>
                <c:pt idx="11">
                  <c:v>Dec 2025</c:v>
                </c:pt>
                <c:pt idx="12">
                  <c:v>Jan 2026</c:v>
                </c:pt>
                <c:pt idx="13">
                  <c:v>Feb 2026</c:v>
                </c:pt>
                <c:pt idx="14">
                  <c:v>Mar 2026</c:v>
                </c:pt>
                <c:pt idx="15">
                  <c:v>Apr 2026</c:v>
                </c:pt>
                <c:pt idx="16">
                  <c:v>May 2026</c:v>
                </c:pt>
                <c:pt idx="17">
                  <c:v>Jun 2026</c:v>
                </c:pt>
                <c:pt idx="18">
                  <c:v>Jul 2026</c:v>
                </c:pt>
                <c:pt idx="19">
                  <c:v>Aug 2026</c:v>
                </c:pt>
              </c:strCache>
            </c:strRef>
          </c:cat>
          <c:val>
            <c:numRef>
              <c:f>Monthly_Analysis!$B$4:$B$24</c:f>
              <c:numCache>
                <c:formatCode>"£"#,##0.00</c:formatCode>
                <c:ptCount val="20"/>
                <c:pt idx="0">
                  <c:v>137766</c:v>
                </c:pt>
                <c:pt idx="1">
                  <c:v>105568</c:v>
                </c:pt>
                <c:pt idx="2">
                  <c:v>133660</c:v>
                </c:pt>
                <c:pt idx="3">
                  <c:v>153271</c:v>
                </c:pt>
                <c:pt idx="4">
                  <c:v>67031.5</c:v>
                </c:pt>
                <c:pt idx="5">
                  <c:v>112395.5</c:v>
                </c:pt>
                <c:pt idx="6">
                  <c:v>109816.5</c:v>
                </c:pt>
                <c:pt idx="7">
                  <c:v>143219</c:v>
                </c:pt>
                <c:pt idx="8">
                  <c:v>118736.5</c:v>
                </c:pt>
                <c:pt idx="9">
                  <c:v>125577.5</c:v>
                </c:pt>
                <c:pt idx="10">
                  <c:v>91974.5</c:v>
                </c:pt>
                <c:pt idx="11">
                  <c:v>90425.5</c:v>
                </c:pt>
                <c:pt idx="12">
                  <c:v>146794</c:v>
                </c:pt>
                <c:pt idx="13">
                  <c:v>80188.5</c:v>
                </c:pt>
                <c:pt idx="14">
                  <c:v>121808</c:v>
                </c:pt>
                <c:pt idx="15">
                  <c:v>101641</c:v>
                </c:pt>
                <c:pt idx="16">
                  <c:v>141617.5</c:v>
                </c:pt>
                <c:pt idx="17">
                  <c:v>52539</c:v>
                </c:pt>
                <c:pt idx="18">
                  <c:v>213056.5</c:v>
                </c:pt>
                <c:pt idx="19">
                  <c:v>55468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9E-41B1-B9A7-28993AD6B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581511"/>
        <c:axId val="969907207"/>
      </c:lineChart>
      <c:catAx>
        <c:axId val="858581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907207"/>
        <c:crosses val="autoZero"/>
        <c:auto val="1"/>
        <c:lblAlgn val="ctr"/>
        <c:lblOffset val="100"/>
        <c:noMultiLvlLbl val="0"/>
      </c:catAx>
      <c:valAx>
        <c:axId val="969907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581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1.xlsx]Regional_Analysis!PivotTable1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Regional_Analysis!$B$3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Regional_Analysis!$A$4:$A$8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Regional_Analysis!$B$4:$B$8</c:f>
              <c:numCache>
                <c:formatCode>"£"#,##0.00</c:formatCode>
                <c:ptCount val="4"/>
                <c:pt idx="0">
                  <c:v>337615</c:v>
                </c:pt>
                <c:pt idx="1">
                  <c:v>549519</c:v>
                </c:pt>
                <c:pt idx="2">
                  <c:v>778244</c:v>
                </c:pt>
                <c:pt idx="3">
                  <c:v>637176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B-435F-812B-0138A2363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9923591"/>
        <c:axId val="969925639"/>
      </c:barChart>
      <c:catAx>
        <c:axId val="969923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925639"/>
        <c:crosses val="autoZero"/>
        <c:auto val="1"/>
        <c:lblAlgn val="ctr"/>
        <c:lblOffset val="100"/>
        <c:noMultiLvlLbl val="0"/>
      </c:catAx>
      <c:valAx>
        <c:axId val="969925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923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1.xlsx]category 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analysis'!$A$2:$A$6</c:f>
              <c:strCache>
                <c:ptCount val="4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Home &amp; Kitchen</c:v>
                </c:pt>
              </c:strCache>
            </c:strRef>
          </c:cat>
          <c:val>
            <c:numRef>
              <c:f>'category analysis'!$B$2:$B$6</c:f>
              <c:numCache>
                <c:formatCode>"£"#,##0.00</c:formatCode>
                <c:ptCount val="4"/>
                <c:pt idx="0">
                  <c:v>348142.5</c:v>
                </c:pt>
                <c:pt idx="1">
                  <c:v>666129.5</c:v>
                </c:pt>
                <c:pt idx="2">
                  <c:v>493551.5</c:v>
                </c:pt>
                <c:pt idx="3">
                  <c:v>794730.5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0-4585-840A-EC8E8250F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6426887"/>
        <c:axId val="1186428935"/>
      </c:barChart>
      <c:catAx>
        <c:axId val="1186426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428935"/>
        <c:crosses val="autoZero"/>
        <c:auto val="1"/>
        <c:lblAlgn val="ctr"/>
        <c:lblOffset val="100"/>
        <c:noMultiLvlLbl val="0"/>
      </c:catAx>
      <c:valAx>
        <c:axId val="1186428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426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1.xlsx]Product_Analysis!PivotTable2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Products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Product_Analysis!$B$3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Product_Analysis!$A$4:$A$9</c:f>
              <c:strCache>
                <c:ptCount val="5"/>
                <c:pt idx="0">
                  <c:v>Air Fryer</c:v>
                </c:pt>
                <c:pt idx="1">
                  <c:v>Coffee Maker</c:v>
                </c:pt>
                <c:pt idx="2">
                  <c:v>Smart Watch</c:v>
                </c:pt>
                <c:pt idx="3">
                  <c:v>Sneakers</c:v>
                </c:pt>
                <c:pt idx="4">
                  <c:v>Wireless Earbuds</c:v>
                </c:pt>
              </c:strCache>
            </c:strRef>
          </c:cat>
          <c:val>
            <c:numRef>
              <c:f>Product_Analysis!$B$4:$B$9</c:f>
              <c:numCache>
                <c:formatCode>General</c:formatCode>
                <c:ptCount val="5"/>
                <c:pt idx="0">
                  <c:v>91731.67</c:v>
                </c:pt>
                <c:pt idx="1">
                  <c:v>71130.570000000022</c:v>
                </c:pt>
                <c:pt idx="2">
                  <c:v>67763.289999999979</c:v>
                </c:pt>
                <c:pt idx="3">
                  <c:v>57020.630000000005</c:v>
                </c:pt>
                <c:pt idx="4">
                  <c:v>65109.78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87-4955-94A8-46604270A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0029319"/>
        <c:axId val="597152775"/>
      </c:barChart>
      <c:catAx>
        <c:axId val="1150029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152775"/>
        <c:crosses val="autoZero"/>
        <c:auto val="1"/>
        <c:lblAlgn val="ctr"/>
        <c:lblOffset val="100"/>
        <c:noMultiLvlLbl val="0"/>
      </c:catAx>
      <c:valAx>
        <c:axId val="597152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29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1.xlsx]Customer_Analysis!PivotTable5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Customers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Customer_Analysis!$B$3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Customer_Analysis!$A$4:$A$14</c:f>
              <c:strCache>
                <c:ptCount val="10"/>
                <c:pt idx="0">
                  <c:v>CUST1137</c:v>
                </c:pt>
                <c:pt idx="1">
                  <c:v>CUST1275</c:v>
                </c:pt>
                <c:pt idx="2">
                  <c:v>CUST1019</c:v>
                </c:pt>
                <c:pt idx="3">
                  <c:v>CUST1181</c:v>
                </c:pt>
                <c:pt idx="4">
                  <c:v>CUST1047</c:v>
                </c:pt>
                <c:pt idx="5">
                  <c:v>CUST1222</c:v>
                </c:pt>
                <c:pt idx="6">
                  <c:v>CUST1243</c:v>
                </c:pt>
                <c:pt idx="7">
                  <c:v>CUST1333</c:v>
                </c:pt>
                <c:pt idx="8">
                  <c:v>CUST1281</c:v>
                </c:pt>
                <c:pt idx="9">
                  <c:v>CUST1240</c:v>
                </c:pt>
              </c:strCache>
            </c:strRef>
          </c:cat>
          <c:val>
            <c:numRef>
              <c:f>Customer_Analysis!$B$4:$B$14</c:f>
              <c:numCache>
                <c:formatCode>"£"#,##0.00</c:formatCode>
                <c:ptCount val="10"/>
                <c:pt idx="0">
                  <c:v>42439</c:v>
                </c:pt>
                <c:pt idx="1">
                  <c:v>32616.5</c:v>
                </c:pt>
                <c:pt idx="2">
                  <c:v>28570</c:v>
                </c:pt>
                <c:pt idx="3">
                  <c:v>26569.5</c:v>
                </c:pt>
                <c:pt idx="4">
                  <c:v>24973</c:v>
                </c:pt>
                <c:pt idx="5">
                  <c:v>24931</c:v>
                </c:pt>
                <c:pt idx="6">
                  <c:v>24772</c:v>
                </c:pt>
                <c:pt idx="7">
                  <c:v>24330</c:v>
                </c:pt>
                <c:pt idx="8">
                  <c:v>23869</c:v>
                </c:pt>
                <c:pt idx="9">
                  <c:v>22012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6C-42C7-93F8-26937F02E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4986375"/>
        <c:axId val="1405001735"/>
      </c:barChart>
      <c:catAx>
        <c:axId val="1404986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001735"/>
        <c:crosses val="autoZero"/>
        <c:auto val="1"/>
        <c:lblAlgn val="ctr"/>
        <c:lblOffset val="100"/>
        <c:noMultiLvlLbl val="0"/>
      </c:catAx>
      <c:valAx>
        <c:axId val="1405001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986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1.xlsx]Payment_Analysis!PivotTable6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Payment_Analysis!$B$3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Payment_Analysis!$A$4:$A$9</c:f>
              <c:strCache>
                <c:ptCount val="5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Payment_Analysis!$B$4:$B$9</c:f>
              <c:numCache>
                <c:formatCode>"£"#,##0.00</c:formatCode>
                <c:ptCount val="5"/>
                <c:pt idx="0">
                  <c:v>377603.5</c:v>
                </c:pt>
                <c:pt idx="1">
                  <c:v>542717</c:v>
                </c:pt>
                <c:pt idx="2">
                  <c:v>418543</c:v>
                </c:pt>
                <c:pt idx="3">
                  <c:v>164937</c:v>
                </c:pt>
                <c:pt idx="4">
                  <c:v>798753.5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E3-4589-BB81-378B5C585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0718343"/>
        <c:axId val="1978498055"/>
      </c:barChart>
      <c:catAx>
        <c:axId val="1640718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98055"/>
        <c:crosses val="autoZero"/>
        <c:auto val="1"/>
        <c:lblAlgn val="ctr"/>
        <c:lblOffset val="100"/>
        <c:noMultiLvlLbl val="0"/>
      </c:catAx>
      <c:valAx>
        <c:axId val="1978498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718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4</xdr:row>
      <xdr:rowOff>76200</xdr:rowOff>
    </xdr:from>
    <xdr:to>
      <xdr:col>7</xdr:col>
      <xdr:colOff>152400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BAB063-D18B-C2EF-09E7-E320BEDCDE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3</xdr:row>
      <xdr:rowOff>133350</xdr:rowOff>
    </xdr:from>
    <xdr:to>
      <xdr:col>8</xdr:col>
      <xdr:colOff>190500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C691F0-0ABE-DBA3-4D4B-A849A34EA8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4</xdr:row>
      <xdr:rowOff>0</xdr:rowOff>
    </xdr:from>
    <xdr:to>
      <xdr:col>7</xdr:col>
      <xdr:colOff>542925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10A615-D85E-EAD9-A993-08EE098196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4</xdr:row>
      <xdr:rowOff>57150</xdr:rowOff>
    </xdr:from>
    <xdr:to>
      <xdr:col>9</xdr:col>
      <xdr:colOff>161925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C95DD7-DBC1-75CE-4283-94B38ECB43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6</xdr:row>
      <xdr:rowOff>95250</xdr:rowOff>
    </xdr:from>
    <xdr:to>
      <xdr:col>7</xdr:col>
      <xdr:colOff>95250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23CBBB-8A91-4F62-8089-4D71D5E699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22</xdr:row>
      <xdr:rowOff>133350</xdr:rowOff>
    </xdr:from>
    <xdr:to>
      <xdr:col>7</xdr:col>
      <xdr:colOff>114300</xdr:colOff>
      <xdr:row>37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F9C98C-663C-4A52-B6B5-D26CE9DF8A9F}"/>
            </a:ext>
            <a:ext uri="{147F2762-F138-4A5C-976F-8EAC2B608ADB}">
              <a16:predDERef xmlns:a16="http://schemas.microsoft.com/office/drawing/2014/main" pred="{4323CBBB-8A91-4F62-8089-4D71D5E699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9525</xdr:colOff>
      <xdr:row>6</xdr:row>
      <xdr:rowOff>85725</xdr:rowOff>
    </xdr:from>
    <xdr:to>
      <xdr:col>14</xdr:col>
      <xdr:colOff>428625</xdr:colOff>
      <xdr:row>21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512CD1-3BBA-4FBA-A281-7531A2409D7A}"/>
            </a:ext>
            <a:ext uri="{147F2762-F138-4A5C-976F-8EAC2B608ADB}">
              <a16:predDERef xmlns:a16="http://schemas.microsoft.com/office/drawing/2014/main" pred="{61F9C98C-663C-4A52-B6B5-D26CE9DF8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19050</xdr:colOff>
      <xdr:row>22</xdr:row>
      <xdr:rowOff>76200</xdr:rowOff>
    </xdr:from>
    <xdr:to>
      <xdr:col>14</xdr:col>
      <xdr:colOff>438150</xdr:colOff>
      <xdr:row>37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6F0810D-943D-41B4-A6F7-34CAD4EE3F2B}"/>
            </a:ext>
            <a:ext uri="{147F2762-F138-4A5C-976F-8EAC2B608ADB}">
              <a16:predDERef xmlns:a16="http://schemas.microsoft.com/office/drawing/2014/main" pred="{E4512CD1-3BBA-4FBA-A281-7531A2409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4</xdr:row>
      <xdr:rowOff>57150</xdr:rowOff>
    </xdr:from>
    <xdr:to>
      <xdr:col>11</xdr:col>
      <xdr:colOff>95250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412C55-EA82-C8EC-46EE-3FDFAA41CB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4</xdr:row>
      <xdr:rowOff>57150</xdr:rowOff>
    </xdr:from>
    <xdr:to>
      <xdr:col>6</xdr:col>
      <xdr:colOff>352425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E3D62A-2942-E055-F8E4-E72741889E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5.845580324072" createdVersion="8" refreshedVersion="8" minRefreshableVersion="3" recordCount="500" xr:uid="{77E6B48E-FC0A-4996-AD43-C64E39922F0D}">
  <cacheSource type="worksheet">
    <worksheetSource name="Ecommerce_Data"/>
  </cacheSource>
  <cacheFields count="14">
    <cacheField name="Order_ID" numFmtId="0">
      <sharedItems/>
    </cacheField>
    <cacheField name="Order_Date" numFmtId="22">
      <sharedItems containsSemiMixedTypes="0" containsNonDate="0" containsDate="1" containsString="0" minDate="2025-01-01T00:00:00" maxDate="2026-08-31T00:00:00"/>
    </cacheField>
    <cacheField name="Month" numFmtId="165">
      <sharedItems containsSemiMixedTypes="0" containsNonDate="0" containsDate="1" containsString="0" minDate="2025-01-01T00:00:00" maxDate="2026-08-02T00:00:00" count="20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</sharedItems>
    </cacheField>
    <cacheField name="Customer_ID" numFmtId="0">
      <sharedItems count="263">
        <s v="CUST1117"/>
        <s v="CUST1192"/>
        <s v="CUST1073"/>
        <s v="CUST1179"/>
        <s v="CUST1224"/>
        <s v="CUST1015"/>
        <s v="CUST1082"/>
        <s v="CUST1188"/>
        <s v="CUST1276"/>
        <s v="CUST1116"/>
        <s v="CUST1329"/>
        <s v="CUST1068"/>
        <s v="CUST1214"/>
        <s v="CUST1105"/>
        <s v="CUST1218"/>
        <s v="CUST1090"/>
        <s v="CUST1221"/>
        <s v="CUST1079"/>
        <s v="CUST1299"/>
        <s v="CUST1059"/>
        <s v="CUST1137"/>
        <s v="CUST1149"/>
        <s v="CUST1074"/>
        <s v="CUST1118"/>
        <s v="CUST1310"/>
        <s v="CUST1254"/>
        <s v="CUST1244"/>
        <s v="CUST1281"/>
        <s v="CUST1173"/>
        <s v="CUST1034"/>
        <s v="CUST1007"/>
        <s v="CUST1314"/>
        <s v="CUST1227"/>
        <s v="CUST1029"/>
        <s v="CUST1024"/>
        <s v="CUST1303"/>
        <s v="CUST1157"/>
        <s v="CUST1181"/>
        <s v="CUST1347"/>
        <s v="CUST1240"/>
        <s v="CUST1210"/>
        <s v="CUST1012"/>
        <s v="CUST1197"/>
        <s v="CUST1129"/>
        <s v="CUST1296"/>
        <s v="CUST1337"/>
        <s v="CUST1348"/>
        <s v="CUST1049"/>
        <s v="CUST1178"/>
        <s v="CUST1243"/>
        <s v="CUST1136"/>
        <s v="CUST1005"/>
        <s v="CUST1142"/>
        <s v="CUST1251"/>
        <s v="CUST1291"/>
        <s v="CUST1201"/>
        <s v="CUST1016"/>
        <s v="CUST1047"/>
        <s v="CUST1052"/>
        <s v="CUST1330"/>
        <s v="CUST1318"/>
        <s v="CUST1126"/>
        <s v="CUST1161"/>
        <s v="CUST1328"/>
        <s v="CUST1339"/>
        <s v="CUST1084"/>
        <s v="CUST1239"/>
        <s v="CUST1158"/>
        <s v="CUST1223"/>
        <s v="CUST1123"/>
        <s v="CUST1156"/>
        <s v="CUST1246"/>
        <s v="CUST1003"/>
        <s v="CUST1041"/>
        <s v="CUST1028"/>
        <s v="CUST1080"/>
        <s v="CUST1154"/>
        <s v="CUST1271"/>
        <s v="CUST1219"/>
        <s v="CUST1283"/>
        <s v="CUST1101"/>
        <s v="CUST1036"/>
        <s v="CUST1261"/>
        <s v="CUST1094"/>
        <s v="CUST1273"/>
        <s v="CUST1184"/>
        <s v="CUST1346"/>
        <s v="CUST1006"/>
        <s v="CUST1014"/>
        <s v="CUST1266"/>
        <s v="CUST1204"/>
        <s v="CUST1193"/>
        <s v="CUST1146"/>
        <s v="CUST1236"/>
        <s v="CUST1217"/>
        <s v="CUST1076"/>
        <s v="CUST1187"/>
        <s v="CUST1104"/>
        <s v="CUST1207"/>
        <s v="CUST1285"/>
        <s v="CUST1077"/>
        <s v="CUST1048"/>
        <s v="CUST1019"/>
        <s v="CUST1349"/>
        <s v="CUST1163"/>
        <s v="CUST1294"/>
        <s v="CUST1176"/>
        <s v="CUST1327"/>
        <s v="CUST1151"/>
        <s v="CUST1039"/>
        <s v="CUST1320"/>
        <s v="CUST1245"/>
        <s v="CUST1345"/>
        <s v="CUST1162"/>
        <s v="CUST1128"/>
        <s v="CUST1102"/>
        <s v="CUST1247"/>
        <s v="CUST1070"/>
        <s v="CUST1096"/>
        <s v="CUST1321"/>
        <s v="CUST1141"/>
        <s v="CUST1125"/>
        <s v="CUST1020"/>
        <s v="CUST1043"/>
        <s v="CUST1120"/>
        <s v="CUST1112"/>
        <s v="CUST1297"/>
        <s v="CUST1106"/>
        <s v="CUST1336"/>
        <s v="CUST1259"/>
        <s v="CUST1333"/>
        <s v="CUST1145"/>
        <s v="CUST1334"/>
        <s v="CUST1160"/>
        <s v="CUST1095"/>
        <s v="CUST1302"/>
        <s v="CUST1170"/>
        <s v="CUST1124"/>
        <s v="CUST1164"/>
        <s v="CUST1153"/>
        <s v="CUST1332"/>
        <s v="CUST1313"/>
        <s v="CUST1004"/>
        <s v="CUST1293"/>
        <s v="CUST1066"/>
        <s v="CUST1113"/>
        <s v="CUST1242"/>
        <s v="CUST1344"/>
        <s v="CUST1341"/>
        <s v="CUST1343"/>
        <s v="CUST1253"/>
        <s v="CUST1119"/>
        <s v="CUST1289"/>
        <s v="CUST1058"/>
        <s v="CUST1213"/>
        <s v="CUST1196"/>
        <s v="CUST1103"/>
        <s v="CUST1191"/>
        <s v="CUST1044"/>
        <s v="CUST1305"/>
        <s v="CUST1209"/>
        <s v="CUST1081"/>
        <s v="CUST1250"/>
        <s v="CUST1069"/>
        <s v="CUST1287"/>
        <s v="CUST1315"/>
        <s v="CUST1231"/>
        <s v="CUST1282"/>
        <s v="CUST1195"/>
        <s v="CUST1140"/>
        <s v="CUST1323"/>
        <s v="CUST1304"/>
        <s v="CUST1237"/>
        <s v="CUST1100"/>
        <s v="CUST1027"/>
        <s v="CUST1086"/>
        <s v="CUST1089"/>
        <s v="CUST1147"/>
        <s v="CUST1257"/>
        <s v="CUST1189"/>
        <s v="CUST1275"/>
        <s v="CUST1017"/>
        <s v="CUST1194"/>
        <s v="CUST1131"/>
        <s v="CUST1168"/>
        <s v="CUST1350"/>
        <s v="CUST1232"/>
        <s v="CUST1288"/>
        <s v="CUST1225"/>
        <s v="CUST1215"/>
        <s v="CUST1091"/>
        <s v="CUST1139"/>
        <s v="CUST1022"/>
        <s v="CUST1054"/>
        <s v="CUST1340"/>
        <s v="CUST1306"/>
        <s v="CUST1212"/>
        <s v="CUST1109"/>
        <s v="CUST1121"/>
        <s v="CUST1001"/>
        <s v="CUST1065"/>
        <s v="CUST1211"/>
        <s v="CUST1319"/>
        <s v="CUST1013"/>
        <s v="CUST1169"/>
        <s v="CUST1228"/>
        <s v="CUST1072"/>
        <s v="CUST1267"/>
        <s v="CUST1279"/>
        <s v="CUST1132"/>
        <s v="CUST1026"/>
        <s v="CUST1175"/>
        <s v="CUST1111"/>
        <s v="CUST1098"/>
        <s v="CUST1295"/>
        <s v="CUST1272"/>
        <s v="CUST1183"/>
        <s v="CUST1138"/>
        <s v="CUST1220"/>
        <s v="CUST1166"/>
        <s v="CUST1144"/>
        <s v="CUST1042"/>
        <s v="CUST1235"/>
        <s v="CUST1256"/>
        <s v="CUST1159"/>
        <s v="CUST1222"/>
        <s v="CUST1338"/>
        <s v="CUST1186"/>
        <s v="CUST1092"/>
        <s v="CUST1075"/>
        <s v="CUST1061"/>
        <s v="CUST1264"/>
        <s v="CUST1143"/>
        <s v="CUST1177"/>
        <s v="CUST1226"/>
        <s v="CUST1311"/>
        <s v="CUST1180"/>
        <s v="CUST1260"/>
        <s v="CUST1301"/>
        <s v="CUST1229"/>
        <s v="CUST1206"/>
        <s v="CUST1342"/>
        <s v="CUST1208"/>
        <s v="CUST1122"/>
        <s v="CUST1167"/>
        <s v="CUST1071"/>
        <s v="CUST1150"/>
        <s v="CUST1309"/>
        <s v="CUST1202"/>
        <s v="CUST1317"/>
        <s v="CUST1182"/>
        <s v="CUST1238"/>
        <s v="CUST1316"/>
        <s v="CUST1046"/>
        <s v="CUST1060"/>
        <s v="CUST1050"/>
        <s v="CUST1051"/>
        <s v="CUST1110"/>
        <s v="CUST1021"/>
        <s v="CUST1133"/>
        <s v="CUST1083"/>
        <s v="CUST1335"/>
        <s v="CUST1064"/>
      </sharedItems>
    </cacheField>
    <cacheField name="Product" numFmtId="0">
      <sharedItems count="16">
        <s v="Perfume"/>
        <s v="Wireless Earbuds"/>
        <s v="Backpack"/>
        <s v="Smart Watch"/>
        <s v="Bluetooth Speaker"/>
        <s v="Coffee Maker"/>
        <s v="Hoodie"/>
        <s v="Casual Shirt"/>
        <s v="Air Fryer"/>
        <s v="Power Bank"/>
        <s v="Electric Kettle"/>
        <s v="Mixer Grinder"/>
        <s v="Sneakers"/>
        <s v="Skincare Set"/>
        <s v="Makeup Kit"/>
        <s v="Hair Dryer"/>
      </sharedItems>
    </cacheField>
    <cacheField name="Category" numFmtId="0">
      <sharedItems count="4">
        <s v="Beauty"/>
        <s v="Electronics"/>
        <s v="Fashion"/>
        <s v="Home &amp; Kitchen"/>
      </sharedItems>
    </cacheField>
    <cacheField name="Region" numFmtId="0">
      <sharedItems count="4">
        <s v="North"/>
        <s v="South"/>
        <s v="West"/>
        <s v="East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164">
      <sharedItems containsSemiMixedTypes="0" containsString="0" containsNumber="1" containsInteger="1" minValue="1250" maxValue="5710"/>
    </cacheField>
    <cacheField name="Discount" numFmtId="10">
      <sharedItems containsSemiMixedTypes="0" containsString="0" containsNumber="1" minValue="0" maxValue="0.25"/>
    </cacheField>
    <cacheField name="Sales" numFmtId="164">
      <sharedItems containsSemiMixedTypes="0" containsString="0" containsNumber="1" minValue="952.5" maxValue="27950"/>
    </cacheField>
    <cacheField name="Cost" numFmtId="164">
      <sharedItems containsSemiMixedTypes="0" containsString="0" containsNumber="1" minValue="737.43" maxValue="18510.599999999999"/>
    </cacheField>
    <cacheField name="Profit" numFmtId="0">
      <sharedItems containsSemiMixedTypes="0" containsString="0" containsNumber="1" minValue="176.34" maxValue="9439.4"/>
    </cacheField>
    <cacheField name="Payment_method" numFmtId="0">
      <sharedItems count="5">
        <s v="UPI"/>
        <s v="Debit Card"/>
        <s v="Cash on Delivery"/>
        <s v="Credit Card"/>
        <s v="Net Bank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RD10051"/>
    <d v="2025-01-01T00:00:00"/>
    <x v="0"/>
    <x v="0"/>
    <x v="0"/>
    <x v="0"/>
    <x v="0"/>
    <n v="1"/>
    <n v="3380"/>
    <n v="0.1"/>
    <n v="3042"/>
    <n v="2103.5700000000002"/>
    <n v="938.43"/>
    <x v="0"/>
  </r>
  <r>
    <s v="ORD10162"/>
    <d v="2025-01-01T00:00:00"/>
    <x v="0"/>
    <x v="1"/>
    <x v="1"/>
    <x v="1"/>
    <x v="1"/>
    <n v="1"/>
    <n v="2420"/>
    <n v="0.1"/>
    <n v="2178"/>
    <n v="1564.68"/>
    <n v="613.32000000000005"/>
    <x v="1"/>
  </r>
  <r>
    <s v="ORD10119"/>
    <d v="2025-01-03T00:00:00"/>
    <x v="0"/>
    <x v="2"/>
    <x v="2"/>
    <x v="2"/>
    <x v="2"/>
    <n v="3"/>
    <n v="1610"/>
    <n v="0.15"/>
    <n v="4105.5"/>
    <n v="2663.92"/>
    <n v="1441.58"/>
    <x v="0"/>
  </r>
  <r>
    <s v="ORD10011"/>
    <d v="2025-01-05T00:00:00"/>
    <x v="0"/>
    <x v="3"/>
    <x v="3"/>
    <x v="1"/>
    <x v="2"/>
    <n v="2"/>
    <n v="3980"/>
    <n v="0.1"/>
    <n v="7164"/>
    <n v="4857.63"/>
    <n v="2306.37"/>
    <x v="1"/>
  </r>
  <r>
    <s v="ORD10305"/>
    <d v="2025-01-05T00:00:00"/>
    <x v="0"/>
    <x v="4"/>
    <x v="2"/>
    <x v="2"/>
    <x v="2"/>
    <n v="1"/>
    <n v="1570"/>
    <n v="0.1"/>
    <n v="1413"/>
    <n v="914.1"/>
    <n v="498.9"/>
    <x v="0"/>
  </r>
  <r>
    <s v="ORD10070"/>
    <d v="2025-01-07T00:00:00"/>
    <x v="0"/>
    <x v="5"/>
    <x v="4"/>
    <x v="1"/>
    <x v="0"/>
    <n v="3"/>
    <n v="2060"/>
    <n v="0"/>
    <n v="6180"/>
    <n v="3568.5"/>
    <n v="2611.5"/>
    <x v="2"/>
  </r>
  <r>
    <s v="ORD10100"/>
    <d v="2025-01-07T00:00:00"/>
    <x v="0"/>
    <x v="6"/>
    <x v="5"/>
    <x v="3"/>
    <x v="0"/>
    <n v="3"/>
    <n v="3600"/>
    <n v="0"/>
    <n v="10800"/>
    <n v="6656.6"/>
    <n v="4143.3999999999996"/>
    <x v="1"/>
  </r>
  <r>
    <s v="ORD10146"/>
    <d v="2025-01-07T00:00:00"/>
    <x v="0"/>
    <x v="7"/>
    <x v="6"/>
    <x v="2"/>
    <x v="0"/>
    <n v="2"/>
    <n v="2000"/>
    <n v="0.15"/>
    <n v="3400"/>
    <n v="2236.62"/>
    <n v="1163.3800000000001"/>
    <x v="3"/>
  </r>
  <r>
    <s v="ORD10186"/>
    <d v="2025-01-07T00:00:00"/>
    <x v="0"/>
    <x v="8"/>
    <x v="6"/>
    <x v="2"/>
    <x v="1"/>
    <n v="1"/>
    <n v="2030"/>
    <n v="0"/>
    <n v="2030"/>
    <n v="1139.3800000000001"/>
    <n v="890.62"/>
    <x v="0"/>
  </r>
  <r>
    <s v="ORD10022"/>
    <d v="2025-01-09T00:00:00"/>
    <x v="0"/>
    <x v="9"/>
    <x v="7"/>
    <x v="2"/>
    <x v="1"/>
    <n v="3"/>
    <n v="1490"/>
    <n v="0.15"/>
    <n v="3799.5"/>
    <n v="2609.33"/>
    <n v="1190.17"/>
    <x v="1"/>
  </r>
  <r>
    <s v="ORD10078"/>
    <d v="2025-01-10T00:00:00"/>
    <x v="0"/>
    <x v="10"/>
    <x v="8"/>
    <x v="3"/>
    <x v="2"/>
    <n v="1"/>
    <n v="5320"/>
    <n v="0.15"/>
    <n v="4522"/>
    <n v="3521.99"/>
    <n v="1000.01"/>
    <x v="3"/>
  </r>
  <r>
    <s v="ORD10173"/>
    <d v="2025-01-10T00:00:00"/>
    <x v="0"/>
    <x v="11"/>
    <x v="1"/>
    <x v="1"/>
    <x v="1"/>
    <n v="4"/>
    <n v="2510"/>
    <n v="0.15"/>
    <n v="8534"/>
    <n v="6109.1"/>
    <n v="2424.9"/>
    <x v="0"/>
  </r>
  <r>
    <s v="ORD10198"/>
    <d v="2025-01-10T00:00:00"/>
    <x v="0"/>
    <x v="12"/>
    <x v="1"/>
    <x v="1"/>
    <x v="3"/>
    <n v="3"/>
    <n v="2500"/>
    <n v="0.15"/>
    <n v="6375"/>
    <n v="4618.29"/>
    <n v="1756.71"/>
    <x v="0"/>
  </r>
  <r>
    <s v="ORD10412"/>
    <d v="2025-01-10T00:00:00"/>
    <x v="0"/>
    <x v="13"/>
    <x v="7"/>
    <x v="2"/>
    <x v="1"/>
    <n v="1"/>
    <n v="1530"/>
    <n v="0.2"/>
    <n v="1224"/>
    <n v="848.08"/>
    <n v="375.92"/>
    <x v="0"/>
  </r>
  <r>
    <s v="ORD10087"/>
    <d v="2025-01-11T00:00:00"/>
    <x v="0"/>
    <x v="14"/>
    <x v="1"/>
    <x v="1"/>
    <x v="3"/>
    <n v="1"/>
    <n v="2460"/>
    <n v="0.1"/>
    <n v="2214"/>
    <n v="1560.69"/>
    <n v="653.30999999999995"/>
    <x v="0"/>
  </r>
  <r>
    <s v="ORD10041"/>
    <d v="2025-01-12T00:00:00"/>
    <x v="0"/>
    <x v="15"/>
    <x v="1"/>
    <x v="1"/>
    <x v="1"/>
    <n v="1"/>
    <n v="2410"/>
    <n v="0.15"/>
    <n v="2048.5"/>
    <n v="1533.16"/>
    <n v="515.34"/>
    <x v="0"/>
  </r>
  <r>
    <s v="ORD10147"/>
    <d v="2025-01-12T00:00:00"/>
    <x v="0"/>
    <x v="16"/>
    <x v="6"/>
    <x v="2"/>
    <x v="1"/>
    <n v="3"/>
    <n v="2080"/>
    <n v="0.05"/>
    <n v="5928"/>
    <n v="3416.24"/>
    <n v="2511.7600000000002"/>
    <x v="0"/>
  </r>
  <r>
    <s v="ORD10287"/>
    <d v="2025-01-12T00:00:00"/>
    <x v="0"/>
    <x v="17"/>
    <x v="2"/>
    <x v="2"/>
    <x v="2"/>
    <n v="1"/>
    <n v="1540"/>
    <n v="0.1"/>
    <n v="1386"/>
    <n v="913.43"/>
    <n v="472.57"/>
    <x v="0"/>
  </r>
  <r>
    <s v="ORD10384"/>
    <d v="2025-01-13T00:00:00"/>
    <x v="0"/>
    <x v="18"/>
    <x v="5"/>
    <x v="3"/>
    <x v="1"/>
    <n v="1"/>
    <n v="3520"/>
    <n v="0.2"/>
    <n v="2816"/>
    <n v="2212.25"/>
    <n v="603.75"/>
    <x v="3"/>
  </r>
  <r>
    <s v="ORD10286"/>
    <d v="2025-01-14T00:00:00"/>
    <x v="0"/>
    <x v="19"/>
    <x v="9"/>
    <x v="1"/>
    <x v="2"/>
    <n v="1"/>
    <n v="1310"/>
    <n v="0.05"/>
    <n v="1244.5"/>
    <n v="742.67"/>
    <n v="501.83"/>
    <x v="0"/>
  </r>
  <r>
    <s v="ORD10113"/>
    <d v="2025-01-16T00:00:00"/>
    <x v="0"/>
    <x v="20"/>
    <x v="3"/>
    <x v="1"/>
    <x v="3"/>
    <n v="2"/>
    <n v="3850"/>
    <n v="0.2"/>
    <n v="6160"/>
    <n v="5059.2299999999996"/>
    <n v="1100.77"/>
    <x v="0"/>
  </r>
  <r>
    <s v="ORD10111"/>
    <d v="2025-01-17T00:00:00"/>
    <x v="0"/>
    <x v="21"/>
    <x v="10"/>
    <x v="3"/>
    <x v="3"/>
    <n v="1"/>
    <n v="1850"/>
    <n v="0.1"/>
    <n v="1665"/>
    <n v="1064.6300000000001"/>
    <n v="600.37"/>
    <x v="3"/>
  </r>
  <r>
    <s v="ORD10131"/>
    <d v="2025-01-17T00:00:00"/>
    <x v="0"/>
    <x v="22"/>
    <x v="8"/>
    <x v="3"/>
    <x v="1"/>
    <n v="1"/>
    <n v="5340"/>
    <n v="0.15"/>
    <n v="4539"/>
    <n v="3553.2"/>
    <n v="985.8"/>
    <x v="0"/>
  </r>
  <r>
    <s v="ORD10438"/>
    <d v="2025-01-17T00:00:00"/>
    <x v="0"/>
    <x v="23"/>
    <x v="11"/>
    <x v="3"/>
    <x v="1"/>
    <n v="1"/>
    <n v="2900"/>
    <n v="0"/>
    <n v="2900"/>
    <n v="1914.11"/>
    <n v="985.89"/>
    <x v="0"/>
  </r>
  <r>
    <s v="ORD10164"/>
    <d v="2025-01-19T00:00:00"/>
    <x v="0"/>
    <x v="24"/>
    <x v="5"/>
    <x v="3"/>
    <x v="0"/>
    <n v="3"/>
    <n v="3590"/>
    <n v="0.1"/>
    <n v="9693"/>
    <n v="6449.6"/>
    <n v="3243.4"/>
    <x v="1"/>
  </r>
  <r>
    <s v="ORD10214"/>
    <d v="2025-01-20T00:00:00"/>
    <x v="0"/>
    <x v="25"/>
    <x v="1"/>
    <x v="1"/>
    <x v="2"/>
    <n v="2"/>
    <n v="2420"/>
    <n v="0.15"/>
    <n v="4114"/>
    <n v="3048.93"/>
    <n v="1065.07"/>
    <x v="2"/>
  </r>
  <r>
    <s v="ORD10498"/>
    <d v="2025-01-21T00:00:00"/>
    <x v="0"/>
    <x v="26"/>
    <x v="8"/>
    <x v="3"/>
    <x v="2"/>
    <n v="1"/>
    <n v="5350"/>
    <n v="0"/>
    <n v="5350"/>
    <n v="3603.9"/>
    <n v="1746.1"/>
    <x v="1"/>
  </r>
  <r>
    <s v="ORD10291"/>
    <d v="2025-01-23T00:00:00"/>
    <x v="0"/>
    <x v="27"/>
    <x v="6"/>
    <x v="2"/>
    <x v="1"/>
    <n v="1"/>
    <n v="1940"/>
    <n v="0.05"/>
    <n v="1843"/>
    <n v="1162.1500000000001"/>
    <n v="680.85"/>
    <x v="2"/>
  </r>
  <r>
    <s v="ORD10434"/>
    <d v="2025-01-25T00:00:00"/>
    <x v="0"/>
    <x v="28"/>
    <x v="11"/>
    <x v="3"/>
    <x v="0"/>
    <n v="1"/>
    <n v="2880"/>
    <n v="0.05"/>
    <n v="2736"/>
    <n v="1989.19"/>
    <n v="746.81"/>
    <x v="3"/>
  </r>
  <r>
    <s v="ORD10497"/>
    <d v="2025-01-25T00:00:00"/>
    <x v="0"/>
    <x v="29"/>
    <x v="8"/>
    <x v="3"/>
    <x v="0"/>
    <n v="2"/>
    <n v="5400"/>
    <n v="0.05"/>
    <n v="10260"/>
    <n v="7069.81"/>
    <n v="3190.19"/>
    <x v="2"/>
  </r>
  <r>
    <s v="ORD10385"/>
    <d v="2025-01-29T00:00:00"/>
    <x v="0"/>
    <x v="30"/>
    <x v="9"/>
    <x v="1"/>
    <x v="2"/>
    <n v="2"/>
    <n v="1340"/>
    <n v="0.2"/>
    <n v="2144"/>
    <n v="1534.5"/>
    <n v="609.5"/>
    <x v="0"/>
  </r>
  <r>
    <s v="ORD10433"/>
    <d v="2025-01-30T00:00:00"/>
    <x v="0"/>
    <x v="31"/>
    <x v="10"/>
    <x v="3"/>
    <x v="0"/>
    <n v="2"/>
    <n v="1840"/>
    <n v="0.1"/>
    <n v="3312"/>
    <n v="2128.25"/>
    <n v="1183.75"/>
    <x v="0"/>
  </r>
  <r>
    <s v="ORD10441"/>
    <d v="2025-01-30T00:00:00"/>
    <x v="0"/>
    <x v="10"/>
    <x v="12"/>
    <x v="2"/>
    <x v="2"/>
    <n v="1"/>
    <n v="2940"/>
    <n v="0.1"/>
    <n v="2646"/>
    <n v="1892.86"/>
    <n v="753.14"/>
    <x v="1"/>
  </r>
  <r>
    <s v="ORD10010"/>
    <d v="2025-02-02T00:00:00"/>
    <x v="1"/>
    <x v="32"/>
    <x v="13"/>
    <x v="0"/>
    <x v="1"/>
    <n v="1"/>
    <n v="2320"/>
    <n v="0.15"/>
    <n v="1972"/>
    <n v="1330.2"/>
    <n v="641.79999999999995"/>
    <x v="0"/>
  </r>
  <r>
    <s v="ORD10475"/>
    <d v="2025-02-02T00:00:00"/>
    <x v="1"/>
    <x v="33"/>
    <x v="13"/>
    <x v="0"/>
    <x v="1"/>
    <n v="2"/>
    <n v="2370"/>
    <n v="0.05"/>
    <n v="4503"/>
    <n v="2524.0100000000002"/>
    <n v="1978.99"/>
    <x v="1"/>
  </r>
  <r>
    <s v="ORD10149"/>
    <d v="2025-02-04T00:00:00"/>
    <x v="1"/>
    <x v="34"/>
    <x v="4"/>
    <x v="1"/>
    <x v="1"/>
    <n v="1"/>
    <n v="1950"/>
    <n v="0.15"/>
    <n v="1657.5"/>
    <n v="1233.18"/>
    <n v="424.32"/>
    <x v="3"/>
  </r>
  <r>
    <s v="ORD10350"/>
    <d v="2025-02-07T00:00:00"/>
    <x v="1"/>
    <x v="35"/>
    <x v="5"/>
    <x v="3"/>
    <x v="1"/>
    <n v="3"/>
    <n v="3570"/>
    <n v="0.2"/>
    <n v="8568"/>
    <n v="6687.34"/>
    <n v="1880.66"/>
    <x v="3"/>
  </r>
  <r>
    <s v="ORD10083"/>
    <d v="2025-02-08T00:00:00"/>
    <x v="1"/>
    <x v="36"/>
    <x v="0"/>
    <x v="0"/>
    <x v="1"/>
    <n v="2"/>
    <n v="3400"/>
    <n v="0.05"/>
    <n v="6460"/>
    <n v="4274.09"/>
    <n v="2185.91"/>
    <x v="2"/>
  </r>
  <r>
    <s v="ORD10319"/>
    <d v="2025-02-09T00:00:00"/>
    <x v="1"/>
    <x v="37"/>
    <x v="4"/>
    <x v="1"/>
    <x v="1"/>
    <n v="3"/>
    <n v="2050"/>
    <n v="0.05"/>
    <n v="5842.5"/>
    <n v="3603.38"/>
    <n v="2239.12"/>
    <x v="1"/>
  </r>
  <r>
    <s v="ORD10365"/>
    <d v="2025-02-09T00:00:00"/>
    <x v="1"/>
    <x v="38"/>
    <x v="3"/>
    <x v="1"/>
    <x v="1"/>
    <n v="2"/>
    <n v="4050"/>
    <n v="0.15"/>
    <n v="6885"/>
    <n v="5062.63"/>
    <n v="1822.37"/>
    <x v="0"/>
  </r>
  <r>
    <s v="ORD10055"/>
    <d v="2025-02-10T00:00:00"/>
    <x v="1"/>
    <x v="39"/>
    <x v="1"/>
    <x v="1"/>
    <x v="1"/>
    <n v="1"/>
    <n v="2480"/>
    <n v="0.05"/>
    <n v="2356"/>
    <n v="1559.56"/>
    <n v="796.44"/>
    <x v="3"/>
  </r>
  <r>
    <s v="ORD10259"/>
    <d v="2025-02-10T00:00:00"/>
    <x v="1"/>
    <x v="40"/>
    <x v="11"/>
    <x v="3"/>
    <x v="3"/>
    <n v="2"/>
    <n v="3020"/>
    <n v="0.05"/>
    <n v="5738"/>
    <n v="3785.37"/>
    <n v="1952.63"/>
    <x v="1"/>
  </r>
  <r>
    <s v="ORD10110"/>
    <d v="2025-02-11T00:00:00"/>
    <x v="1"/>
    <x v="41"/>
    <x v="7"/>
    <x v="2"/>
    <x v="2"/>
    <n v="1"/>
    <n v="1560"/>
    <n v="0"/>
    <n v="1560"/>
    <n v="824.77"/>
    <n v="735.23"/>
    <x v="0"/>
  </r>
  <r>
    <s v="ORD10462"/>
    <d v="2025-02-12T00:00:00"/>
    <x v="1"/>
    <x v="20"/>
    <x v="8"/>
    <x v="3"/>
    <x v="1"/>
    <n v="5"/>
    <n v="5490"/>
    <n v="0"/>
    <n v="27450"/>
    <n v="18092.41"/>
    <n v="9357.59"/>
    <x v="0"/>
  </r>
  <r>
    <s v="ORD10231"/>
    <d v="2025-02-13T00:00:00"/>
    <x v="1"/>
    <x v="42"/>
    <x v="3"/>
    <x v="1"/>
    <x v="2"/>
    <n v="1"/>
    <n v="4100"/>
    <n v="0.1"/>
    <n v="3690"/>
    <n v="2482.06"/>
    <n v="1207.94"/>
    <x v="3"/>
  </r>
  <r>
    <s v="ORD10220"/>
    <d v="2025-02-18T00:00:00"/>
    <x v="1"/>
    <x v="43"/>
    <x v="13"/>
    <x v="0"/>
    <x v="2"/>
    <n v="2"/>
    <n v="2220"/>
    <n v="0.1"/>
    <n v="3996"/>
    <n v="2663.01"/>
    <n v="1332.99"/>
    <x v="2"/>
  </r>
  <r>
    <s v="ORD10254"/>
    <d v="2025-02-18T00:00:00"/>
    <x v="1"/>
    <x v="1"/>
    <x v="5"/>
    <x v="3"/>
    <x v="1"/>
    <n v="1"/>
    <n v="3450"/>
    <n v="0"/>
    <n v="3450"/>
    <n v="2239.94"/>
    <n v="1210.06"/>
    <x v="0"/>
  </r>
  <r>
    <s v="ORD10493"/>
    <d v="2025-02-19T00:00:00"/>
    <x v="1"/>
    <x v="44"/>
    <x v="4"/>
    <x v="1"/>
    <x v="1"/>
    <n v="1"/>
    <n v="1980"/>
    <n v="0.15"/>
    <n v="1683"/>
    <n v="1178.0899999999999"/>
    <n v="504.91"/>
    <x v="1"/>
  </r>
  <r>
    <s v="ORD10459"/>
    <d v="2025-02-23T00:00:00"/>
    <x v="1"/>
    <x v="45"/>
    <x v="8"/>
    <x v="3"/>
    <x v="3"/>
    <n v="2"/>
    <n v="5420"/>
    <n v="0.15"/>
    <n v="9214"/>
    <n v="7116.08"/>
    <n v="2097.92"/>
    <x v="4"/>
  </r>
  <r>
    <s v="ORD10108"/>
    <d v="2025-02-24T00:00:00"/>
    <x v="1"/>
    <x v="32"/>
    <x v="2"/>
    <x v="2"/>
    <x v="0"/>
    <n v="3"/>
    <n v="1540"/>
    <n v="0.05"/>
    <n v="4389"/>
    <n v="2661.49"/>
    <n v="1727.51"/>
    <x v="2"/>
  </r>
  <r>
    <s v="ORD10181"/>
    <d v="2025-02-24T00:00:00"/>
    <x v="1"/>
    <x v="46"/>
    <x v="5"/>
    <x v="3"/>
    <x v="0"/>
    <n v="2"/>
    <n v="3620"/>
    <n v="0.15"/>
    <n v="6154"/>
    <n v="4329.95"/>
    <n v="1824.05"/>
    <x v="0"/>
  </r>
  <r>
    <s v="ORD10174"/>
    <d v="2025-03-01T00:00:00"/>
    <x v="2"/>
    <x v="47"/>
    <x v="4"/>
    <x v="1"/>
    <x v="0"/>
    <n v="3"/>
    <n v="1990"/>
    <n v="0"/>
    <n v="5970"/>
    <n v="3525.04"/>
    <n v="2444.96"/>
    <x v="2"/>
  </r>
  <r>
    <s v="ORD10190"/>
    <d v="2025-03-01T00:00:00"/>
    <x v="2"/>
    <x v="48"/>
    <x v="3"/>
    <x v="1"/>
    <x v="2"/>
    <n v="2"/>
    <n v="3910"/>
    <n v="0.05"/>
    <n v="7429"/>
    <n v="4995.38"/>
    <n v="2433.62"/>
    <x v="3"/>
  </r>
  <r>
    <s v="ORD10121"/>
    <d v="2025-03-03T00:00:00"/>
    <x v="2"/>
    <x v="49"/>
    <x v="0"/>
    <x v="0"/>
    <x v="0"/>
    <n v="5"/>
    <n v="3620"/>
    <n v="0.05"/>
    <n v="17195"/>
    <n v="10594.28"/>
    <n v="6600.72"/>
    <x v="0"/>
  </r>
  <r>
    <s v="ORD10366"/>
    <d v="2025-03-03T00:00:00"/>
    <x v="2"/>
    <x v="50"/>
    <x v="5"/>
    <x v="3"/>
    <x v="3"/>
    <n v="2"/>
    <n v="3390"/>
    <n v="0"/>
    <n v="6780"/>
    <n v="4280.8500000000004"/>
    <n v="2499.15"/>
    <x v="0"/>
  </r>
  <r>
    <s v="ORD10273"/>
    <d v="2025-03-05T00:00:00"/>
    <x v="2"/>
    <x v="51"/>
    <x v="6"/>
    <x v="2"/>
    <x v="2"/>
    <n v="1"/>
    <n v="1930"/>
    <n v="0.1"/>
    <n v="1737"/>
    <n v="1166.96"/>
    <n v="570.04"/>
    <x v="3"/>
  </r>
  <r>
    <s v="ORD10382"/>
    <d v="2025-03-05T00:00:00"/>
    <x v="2"/>
    <x v="52"/>
    <x v="2"/>
    <x v="2"/>
    <x v="0"/>
    <n v="1"/>
    <n v="1610"/>
    <n v="0"/>
    <n v="1610"/>
    <n v="897.46"/>
    <n v="712.54"/>
    <x v="3"/>
  </r>
  <r>
    <s v="ORD10388"/>
    <d v="2025-03-05T00:00:00"/>
    <x v="2"/>
    <x v="53"/>
    <x v="8"/>
    <x v="3"/>
    <x v="3"/>
    <n v="2"/>
    <n v="5460"/>
    <n v="0.15"/>
    <n v="9282"/>
    <n v="7056.63"/>
    <n v="2225.37"/>
    <x v="0"/>
  </r>
  <r>
    <s v="ORD10440"/>
    <d v="2025-03-05T00:00:00"/>
    <x v="2"/>
    <x v="4"/>
    <x v="1"/>
    <x v="1"/>
    <x v="1"/>
    <n v="2"/>
    <n v="2470"/>
    <n v="0.15"/>
    <n v="4199"/>
    <n v="3082.84"/>
    <n v="1116.1600000000001"/>
    <x v="2"/>
  </r>
  <r>
    <s v="ORD10165"/>
    <d v="2025-03-06T00:00:00"/>
    <x v="2"/>
    <x v="54"/>
    <x v="12"/>
    <x v="2"/>
    <x v="2"/>
    <n v="2"/>
    <n v="2990"/>
    <n v="0.1"/>
    <n v="5382"/>
    <n v="3641.73"/>
    <n v="1740.27"/>
    <x v="3"/>
  </r>
  <r>
    <s v="ORD10280"/>
    <d v="2025-03-06T00:00:00"/>
    <x v="2"/>
    <x v="55"/>
    <x v="4"/>
    <x v="1"/>
    <x v="2"/>
    <n v="1"/>
    <n v="2070"/>
    <n v="0"/>
    <n v="2070"/>
    <n v="1223.18"/>
    <n v="846.82"/>
    <x v="1"/>
  </r>
  <r>
    <s v="ORD10247"/>
    <d v="2025-03-09T00:00:00"/>
    <x v="2"/>
    <x v="56"/>
    <x v="7"/>
    <x v="2"/>
    <x v="3"/>
    <n v="1"/>
    <n v="1560"/>
    <n v="0.05"/>
    <n v="1482"/>
    <n v="856.43"/>
    <n v="625.57000000000005"/>
    <x v="2"/>
  </r>
  <r>
    <s v="ORD10333"/>
    <d v="2025-03-10T00:00:00"/>
    <x v="2"/>
    <x v="57"/>
    <x v="2"/>
    <x v="2"/>
    <x v="1"/>
    <n v="1"/>
    <n v="1620"/>
    <n v="0.1"/>
    <n v="1458"/>
    <n v="890.95"/>
    <n v="567.04999999999995"/>
    <x v="1"/>
  </r>
  <r>
    <s v="ORD10351"/>
    <d v="2025-03-10T00:00:00"/>
    <x v="2"/>
    <x v="58"/>
    <x v="6"/>
    <x v="2"/>
    <x v="1"/>
    <n v="2"/>
    <n v="1960"/>
    <n v="0.1"/>
    <n v="3528"/>
    <n v="2333.4699999999998"/>
    <n v="1194.53"/>
    <x v="2"/>
  </r>
  <r>
    <s v="ORD10500"/>
    <d v="2025-03-10T00:00:00"/>
    <x v="2"/>
    <x v="59"/>
    <x v="8"/>
    <x v="3"/>
    <x v="2"/>
    <n v="2"/>
    <n v="5690"/>
    <n v="0.1"/>
    <n v="10242"/>
    <n v="7414.68"/>
    <n v="2827.32"/>
    <x v="3"/>
  </r>
  <r>
    <s v="ORD10178"/>
    <d v="2025-03-11T00:00:00"/>
    <x v="2"/>
    <x v="21"/>
    <x v="11"/>
    <x v="3"/>
    <x v="2"/>
    <n v="2"/>
    <n v="3070"/>
    <n v="0"/>
    <n v="6140"/>
    <n v="3837.69"/>
    <n v="2302.31"/>
    <x v="0"/>
  </r>
  <r>
    <s v="ORD10145"/>
    <d v="2025-03-14T00:00:00"/>
    <x v="2"/>
    <x v="60"/>
    <x v="3"/>
    <x v="1"/>
    <x v="1"/>
    <n v="2"/>
    <n v="4070"/>
    <n v="0.15"/>
    <n v="6919"/>
    <n v="5090.5200000000004"/>
    <n v="1828.48"/>
    <x v="3"/>
  </r>
  <r>
    <s v="ORD10017"/>
    <d v="2025-03-22T00:00:00"/>
    <x v="2"/>
    <x v="61"/>
    <x v="9"/>
    <x v="1"/>
    <x v="1"/>
    <n v="1"/>
    <n v="1280"/>
    <n v="0"/>
    <n v="1280"/>
    <n v="766.13"/>
    <n v="513.87"/>
    <x v="4"/>
  </r>
  <r>
    <s v="ORD10225"/>
    <d v="2025-03-23T00:00:00"/>
    <x v="2"/>
    <x v="62"/>
    <x v="8"/>
    <x v="3"/>
    <x v="1"/>
    <n v="1"/>
    <n v="5410"/>
    <n v="0.05"/>
    <n v="5139.5"/>
    <n v="3696.56"/>
    <n v="1442.94"/>
    <x v="1"/>
  </r>
  <r>
    <s v="ORD10276"/>
    <d v="2025-03-23T00:00:00"/>
    <x v="2"/>
    <x v="63"/>
    <x v="12"/>
    <x v="2"/>
    <x v="2"/>
    <n v="2"/>
    <n v="2990"/>
    <n v="0.15"/>
    <n v="5083"/>
    <n v="3810.14"/>
    <n v="1272.8599999999999"/>
    <x v="3"/>
  </r>
  <r>
    <s v="ORD10364"/>
    <d v="2025-03-23T00:00:00"/>
    <x v="2"/>
    <x v="64"/>
    <x v="12"/>
    <x v="2"/>
    <x v="2"/>
    <n v="2"/>
    <n v="3010"/>
    <n v="0.25"/>
    <n v="4515"/>
    <n v="3660.3"/>
    <n v="854.7"/>
    <x v="2"/>
  </r>
  <r>
    <s v="ORD10136"/>
    <d v="2025-03-25T00:00:00"/>
    <x v="2"/>
    <x v="65"/>
    <x v="3"/>
    <x v="1"/>
    <x v="0"/>
    <n v="4"/>
    <n v="3980"/>
    <n v="0"/>
    <n v="15920"/>
    <n v="10266.17"/>
    <n v="5653.83"/>
    <x v="0"/>
  </r>
  <r>
    <s v="ORD10321"/>
    <d v="2025-03-26T00:00:00"/>
    <x v="2"/>
    <x v="66"/>
    <x v="0"/>
    <x v="0"/>
    <x v="1"/>
    <n v="1"/>
    <n v="3630"/>
    <n v="0.15"/>
    <n v="3085.5"/>
    <n v="2065.2600000000002"/>
    <n v="1020.24"/>
    <x v="0"/>
  </r>
  <r>
    <s v="ORD10491"/>
    <d v="2025-03-26T00:00:00"/>
    <x v="2"/>
    <x v="67"/>
    <x v="14"/>
    <x v="0"/>
    <x v="3"/>
    <n v="1"/>
    <n v="1900"/>
    <n v="0.1"/>
    <n v="1710"/>
    <n v="1044.8599999999999"/>
    <n v="665.14"/>
    <x v="0"/>
  </r>
  <r>
    <s v="ORD10099"/>
    <d v="2025-03-29T00:00:00"/>
    <x v="2"/>
    <x v="68"/>
    <x v="9"/>
    <x v="1"/>
    <x v="0"/>
    <n v="3"/>
    <n v="1320"/>
    <n v="0.1"/>
    <n v="3564"/>
    <n v="2239.64"/>
    <n v="1324.36"/>
    <x v="2"/>
  </r>
  <r>
    <s v="ORD10144"/>
    <d v="2025-03-31T00:00:00"/>
    <x v="2"/>
    <x v="69"/>
    <x v="4"/>
    <x v="1"/>
    <x v="0"/>
    <n v="1"/>
    <n v="1940"/>
    <n v="0"/>
    <n v="1940"/>
    <n v="1209.82"/>
    <n v="730.18"/>
    <x v="2"/>
  </r>
  <r>
    <s v="ORD10307"/>
    <d v="2025-04-03T00:00:00"/>
    <x v="3"/>
    <x v="70"/>
    <x v="2"/>
    <x v="2"/>
    <x v="2"/>
    <n v="2"/>
    <n v="1660"/>
    <n v="0"/>
    <n v="3320"/>
    <n v="1802.94"/>
    <n v="1517.06"/>
    <x v="2"/>
  </r>
  <r>
    <s v="ORD10468"/>
    <d v="2025-04-03T00:00:00"/>
    <x v="3"/>
    <x v="71"/>
    <x v="9"/>
    <x v="1"/>
    <x v="3"/>
    <n v="5"/>
    <n v="1310"/>
    <n v="0"/>
    <n v="6550"/>
    <n v="3826.55"/>
    <n v="2723.45"/>
    <x v="3"/>
  </r>
  <r>
    <s v="ORD10228"/>
    <d v="2025-04-08T00:00:00"/>
    <x v="3"/>
    <x v="19"/>
    <x v="3"/>
    <x v="1"/>
    <x v="3"/>
    <n v="3"/>
    <n v="4090"/>
    <n v="0.05"/>
    <n v="11656.5"/>
    <n v="7325.37"/>
    <n v="4331.13"/>
    <x v="3"/>
  </r>
  <r>
    <s v="ORD10123"/>
    <d v="2025-04-09T00:00:00"/>
    <x v="3"/>
    <x v="72"/>
    <x v="1"/>
    <x v="1"/>
    <x v="2"/>
    <n v="1"/>
    <n v="2500"/>
    <n v="0.1"/>
    <n v="2250"/>
    <n v="1596.16"/>
    <n v="653.84"/>
    <x v="3"/>
  </r>
  <r>
    <s v="ORD10152"/>
    <d v="2025-04-10T00:00:00"/>
    <x v="3"/>
    <x v="73"/>
    <x v="9"/>
    <x v="1"/>
    <x v="3"/>
    <n v="1"/>
    <n v="1270"/>
    <n v="0.25"/>
    <n v="952.5"/>
    <n v="776.16"/>
    <n v="176.34"/>
    <x v="0"/>
  </r>
  <r>
    <s v="ORD10294"/>
    <d v="2025-04-10T00:00:00"/>
    <x v="3"/>
    <x v="74"/>
    <x v="6"/>
    <x v="2"/>
    <x v="0"/>
    <n v="1"/>
    <n v="2020"/>
    <n v="0"/>
    <n v="2020"/>
    <n v="1166.46"/>
    <n v="853.54"/>
    <x v="3"/>
  </r>
  <r>
    <s v="ORD10328"/>
    <d v="2025-04-10T00:00:00"/>
    <x v="3"/>
    <x v="31"/>
    <x v="5"/>
    <x v="3"/>
    <x v="0"/>
    <n v="1"/>
    <n v="3590"/>
    <n v="0"/>
    <n v="3590"/>
    <n v="2135.5100000000002"/>
    <n v="1454.49"/>
    <x v="1"/>
  </r>
  <r>
    <s v="ORD10142"/>
    <d v="2025-04-12T00:00:00"/>
    <x v="3"/>
    <x v="75"/>
    <x v="1"/>
    <x v="1"/>
    <x v="3"/>
    <n v="3"/>
    <n v="2420"/>
    <n v="0"/>
    <n v="7260"/>
    <n v="4669.78"/>
    <n v="2590.2199999999998"/>
    <x v="1"/>
  </r>
  <r>
    <s v="ORD10236"/>
    <d v="2025-04-12T00:00:00"/>
    <x v="3"/>
    <x v="76"/>
    <x v="7"/>
    <x v="2"/>
    <x v="3"/>
    <n v="1"/>
    <n v="1450"/>
    <n v="0.15"/>
    <n v="1232.5"/>
    <n v="826"/>
    <n v="406.5"/>
    <x v="1"/>
  </r>
  <r>
    <s v="ORD10325"/>
    <d v="2025-04-12T00:00:00"/>
    <x v="3"/>
    <x v="77"/>
    <x v="1"/>
    <x v="1"/>
    <x v="0"/>
    <n v="1"/>
    <n v="2490"/>
    <n v="0.25"/>
    <n v="1867.5"/>
    <n v="1518.29"/>
    <n v="349.21"/>
    <x v="1"/>
  </r>
  <r>
    <s v="ORD10360"/>
    <d v="2025-04-13T00:00:00"/>
    <x v="3"/>
    <x v="0"/>
    <x v="2"/>
    <x v="2"/>
    <x v="2"/>
    <n v="3"/>
    <n v="1600"/>
    <n v="0"/>
    <n v="4800"/>
    <n v="2709.83"/>
    <n v="2090.17"/>
    <x v="0"/>
  </r>
  <r>
    <s v="ORD10210"/>
    <d v="2025-04-14T00:00:00"/>
    <x v="3"/>
    <x v="78"/>
    <x v="14"/>
    <x v="0"/>
    <x v="1"/>
    <n v="2"/>
    <n v="1940"/>
    <n v="0.05"/>
    <n v="3686"/>
    <n v="2139.6999999999998"/>
    <n v="1546.3"/>
    <x v="2"/>
  </r>
  <r>
    <s v="ORD10233"/>
    <d v="2025-04-14T00:00:00"/>
    <x v="3"/>
    <x v="79"/>
    <x v="3"/>
    <x v="1"/>
    <x v="2"/>
    <n v="2"/>
    <n v="4040"/>
    <n v="0"/>
    <n v="8080"/>
    <n v="4958.93"/>
    <n v="3121.07"/>
    <x v="3"/>
  </r>
  <r>
    <s v="ORD10272"/>
    <d v="2025-04-14T00:00:00"/>
    <x v="3"/>
    <x v="80"/>
    <x v="2"/>
    <x v="2"/>
    <x v="1"/>
    <n v="2"/>
    <n v="1550"/>
    <n v="0.15"/>
    <n v="2635"/>
    <n v="1838.08"/>
    <n v="796.92"/>
    <x v="1"/>
  </r>
  <r>
    <s v="ORD10122"/>
    <d v="2025-04-17T00:00:00"/>
    <x v="3"/>
    <x v="57"/>
    <x v="5"/>
    <x v="3"/>
    <x v="1"/>
    <n v="1"/>
    <n v="3460"/>
    <n v="0.15"/>
    <n v="2941"/>
    <n v="2141.64"/>
    <n v="799.36"/>
    <x v="0"/>
  </r>
  <r>
    <s v="ORD10171"/>
    <d v="2025-04-18T00:00:00"/>
    <x v="3"/>
    <x v="81"/>
    <x v="4"/>
    <x v="1"/>
    <x v="1"/>
    <n v="2"/>
    <n v="2010"/>
    <n v="0"/>
    <n v="4020"/>
    <n v="2364.9499999999998"/>
    <n v="1655.05"/>
    <x v="3"/>
  </r>
  <r>
    <s v="ORD10209"/>
    <d v="2025-04-18T00:00:00"/>
    <x v="3"/>
    <x v="82"/>
    <x v="3"/>
    <x v="1"/>
    <x v="0"/>
    <n v="1"/>
    <n v="3840"/>
    <n v="0.1"/>
    <n v="3456"/>
    <n v="2462"/>
    <n v="994"/>
    <x v="1"/>
  </r>
  <r>
    <s v="ORD10418"/>
    <d v="2025-04-18T00:00:00"/>
    <x v="3"/>
    <x v="83"/>
    <x v="6"/>
    <x v="2"/>
    <x v="1"/>
    <n v="2"/>
    <n v="2070"/>
    <n v="0.05"/>
    <n v="3933"/>
    <n v="2343.9899999999998"/>
    <n v="1589.01"/>
    <x v="0"/>
  </r>
  <r>
    <s v="ORD10104"/>
    <d v="2025-04-19T00:00:00"/>
    <x v="3"/>
    <x v="29"/>
    <x v="1"/>
    <x v="1"/>
    <x v="0"/>
    <n v="3"/>
    <n v="2560"/>
    <n v="0.1"/>
    <n v="6912"/>
    <n v="4649.47"/>
    <n v="2262.5300000000002"/>
    <x v="1"/>
  </r>
  <r>
    <s v="ORD10456"/>
    <d v="2025-04-19T00:00:00"/>
    <x v="3"/>
    <x v="84"/>
    <x v="10"/>
    <x v="3"/>
    <x v="3"/>
    <n v="1"/>
    <n v="1860"/>
    <n v="0.05"/>
    <n v="1767"/>
    <n v="1019.36"/>
    <n v="747.64"/>
    <x v="1"/>
  </r>
  <r>
    <s v="ORD10065"/>
    <d v="2025-04-21T00:00:00"/>
    <x v="3"/>
    <x v="85"/>
    <x v="6"/>
    <x v="2"/>
    <x v="1"/>
    <n v="1"/>
    <n v="2020"/>
    <n v="0"/>
    <n v="2020"/>
    <n v="1128.05"/>
    <n v="891.95"/>
    <x v="0"/>
  </r>
  <r>
    <s v="ORD10297"/>
    <d v="2025-04-21T00:00:00"/>
    <x v="3"/>
    <x v="86"/>
    <x v="4"/>
    <x v="1"/>
    <x v="1"/>
    <n v="1"/>
    <n v="2060"/>
    <n v="0.15"/>
    <n v="1751"/>
    <n v="1167"/>
    <n v="584"/>
    <x v="2"/>
  </r>
  <r>
    <s v="ORD10485"/>
    <d v="2025-04-21T00:00:00"/>
    <x v="3"/>
    <x v="87"/>
    <x v="6"/>
    <x v="2"/>
    <x v="2"/>
    <n v="2"/>
    <n v="2080"/>
    <n v="0"/>
    <n v="4160"/>
    <n v="2236.7199999999998"/>
    <n v="1923.28"/>
    <x v="1"/>
  </r>
  <r>
    <s v="ORD10211"/>
    <d v="2025-04-22T00:00:00"/>
    <x v="3"/>
    <x v="88"/>
    <x v="1"/>
    <x v="1"/>
    <x v="0"/>
    <n v="1"/>
    <n v="2410"/>
    <n v="0.15"/>
    <n v="2048.5"/>
    <n v="1572.85"/>
    <n v="475.65"/>
    <x v="3"/>
  </r>
  <r>
    <s v="ORD10383"/>
    <d v="2025-04-22T00:00:00"/>
    <x v="3"/>
    <x v="70"/>
    <x v="3"/>
    <x v="1"/>
    <x v="1"/>
    <n v="2"/>
    <n v="4060"/>
    <n v="0.1"/>
    <n v="7308"/>
    <n v="5123.0600000000004"/>
    <n v="2184.94"/>
    <x v="0"/>
  </r>
  <r>
    <s v="ORD10096"/>
    <d v="2025-04-24T00:00:00"/>
    <x v="3"/>
    <x v="89"/>
    <x v="8"/>
    <x v="3"/>
    <x v="2"/>
    <n v="1"/>
    <n v="5310"/>
    <n v="0.05"/>
    <n v="5044.5"/>
    <n v="3654.7"/>
    <n v="1389.8"/>
    <x v="1"/>
  </r>
  <r>
    <s v="ORD10278"/>
    <d v="2025-04-24T00:00:00"/>
    <x v="3"/>
    <x v="90"/>
    <x v="14"/>
    <x v="0"/>
    <x v="2"/>
    <n v="3"/>
    <n v="1840"/>
    <n v="0.15"/>
    <n v="4692"/>
    <n v="3112.09"/>
    <n v="1579.91"/>
    <x v="1"/>
  </r>
  <r>
    <s v="ORD10315"/>
    <d v="2025-04-24T00:00:00"/>
    <x v="3"/>
    <x v="91"/>
    <x v="10"/>
    <x v="3"/>
    <x v="3"/>
    <n v="5"/>
    <n v="1850"/>
    <n v="0"/>
    <n v="9250"/>
    <n v="5329.31"/>
    <n v="3920.69"/>
    <x v="2"/>
  </r>
  <r>
    <s v="ORD10028"/>
    <d v="2025-04-26T00:00:00"/>
    <x v="3"/>
    <x v="68"/>
    <x v="13"/>
    <x v="0"/>
    <x v="1"/>
    <n v="3"/>
    <n v="2240"/>
    <n v="0.05"/>
    <n v="6384"/>
    <n v="3913.29"/>
    <n v="2470.71"/>
    <x v="3"/>
  </r>
  <r>
    <s v="ORD10216"/>
    <d v="2025-04-27T00:00:00"/>
    <x v="3"/>
    <x v="92"/>
    <x v="2"/>
    <x v="2"/>
    <x v="0"/>
    <n v="2"/>
    <n v="1580"/>
    <n v="0"/>
    <n v="3160"/>
    <n v="1792.87"/>
    <n v="1367.13"/>
    <x v="3"/>
  </r>
  <r>
    <s v="ORD10476"/>
    <d v="2025-04-27T00:00:00"/>
    <x v="3"/>
    <x v="93"/>
    <x v="3"/>
    <x v="1"/>
    <x v="2"/>
    <n v="1"/>
    <n v="4030"/>
    <n v="0"/>
    <n v="4030"/>
    <n v="2560.36"/>
    <n v="1469.64"/>
    <x v="1"/>
  </r>
  <r>
    <s v="ORD10057"/>
    <d v="2025-04-29T00:00:00"/>
    <x v="3"/>
    <x v="94"/>
    <x v="12"/>
    <x v="2"/>
    <x v="2"/>
    <n v="2"/>
    <n v="2970"/>
    <n v="0.25"/>
    <n v="4455"/>
    <n v="3755.41"/>
    <n v="699.59"/>
    <x v="1"/>
  </r>
  <r>
    <s v="ORD10161"/>
    <d v="2025-04-29T00:00:00"/>
    <x v="3"/>
    <x v="95"/>
    <x v="6"/>
    <x v="2"/>
    <x v="3"/>
    <n v="2"/>
    <n v="2060"/>
    <n v="0.1"/>
    <n v="3708"/>
    <n v="2309.7399999999998"/>
    <n v="1398.26"/>
    <x v="1"/>
  </r>
  <r>
    <s v="ORD10298"/>
    <d v="2025-04-29T00:00:00"/>
    <x v="3"/>
    <x v="96"/>
    <x v="7"/>
    <x v="2"/>
    <x v="0"/>
    <n v="2"/>
    <n v="1450"/>
    <n v="0.25"/>
    <n v="2175"/>
    <n v="1650.73"/>
    <n v="524.27"/>
    <x v="1"/>
  </r>
  <r>
    <s v="ORD10124"/>
    <d v="2025-04-30T00:00:00"/>
    <x v="3"/>
    <x v="69"/>
    <x v="2"/>
    <x v="2"/>
    <x v="0"/>
    <n v="4"/>
    <n v="1590"/>
    <n v="0.15"/>
    <n v="5406"/>
    <n v="3576.49"/>
    <n v="1829.51"/>
    <x v="0"/>
  </r>
  <r>
    <s v="ORD10374"/>
    <d v="2025-04-30T00:00:00"/>
    <x v="3"/>
    <x v="97"/>
    <x v="1"/>
    <x v="1"/>
    <x v="3"/>
    <n v="2"/>
    <n v="2500"/>
    <n v="0.05"/>
    <n v="4750"/>
    <n v="3143.94"/>
    <n v="1606.06"/>
    <x v="1"/>
  </r>
  <r>
    <s v="ORD10156"/>
    <d v="2025-05-01T00:00:00"/>
    <x v="4"/>
    <x v="98"/>
    <x v="10"/>
    <x v="3"/>
    <x v="2"/>
    <n v="2"/>
    <n v="1830"/>
    <n v="0.15"/>
    <n v="3111"/>
    <n v="2093.2399999999998"/>
    <n v="1017.76"/>
    <x v="0"/>
  </r>
  <r>
    <s v="ORD10268"/>
    <d v="2025-05-02T00:00:00"/>
    <x v="4"/>
    <x v="99"/>
    <x v="1"/>
    <x v="1"/>
    <x v="1"/>
    <n v="1"/>
    <n v="2520"/>
    <n v="0.2"/>
    <n v="2016"/>
    <n v="1580.38"/>
    <n v="435.62"/>
    <x v="4"/>
  </r>
  <r>
    <s v="ORD10480"/>
    <d v="2025-05-03T00:00:00"/>
    <x v="4"/>
    <x v="100"/>
    <x v="2"/>
    <x v="2"/>
    <x v="1"/>
    <n v="1"/>
    <n v="1540"/>
    <n v="0.1"/>
    <n v="1386"/>
    <n v="894.48"/>
    <n v="491.52"/>
    <x v="0"/>
  </r>
  <r>
    <s v="ORD10332"/>
    <d v="2025-05-04T00:00:00"/>
    <x v="4"/>
    <x v="51"/>
    <x v="9"/>
    <x v="1"/>
    <x v="1"/>
    <n v="1"/>
    <n v="1290"/>
    <n v="0.05"/>
    <n v="1225.5"/>
    <n v="779.84"/>
    <n v="445.66"/>
    <x v="0"/>
  </r>
  <r>
    <s v="ORD10035"/>
    <d v="2025-05-07T00:00:00"/>
    <x v="4"/>
    <x v="101"/>
    <x v="1"/>
    <x v="1"/>
    <x v="0"/>
    <n v="1"/>
    <n v="2450"/>
    <n v="0"/>
    <n v="2450"/>
    <n v="1554.58"/>
    <n v="895.42"/>
    <x v="3"/>
  </r>
  <r>
    <s v="ORD10357"/>
    <d v="2025-05-07T00:00:00"/>
    <x v="4"/>
    <x v="102"/>
    <x v="4"/>
    <x v="1"/>
    <x v="1"/>
    <n v="4"/>
    <n v="2010"/>
    <n v="0.1"/>
    <n v="7236"/>
    <n v="4775.74"/>
    <n v="2460.2600000000002"/>
    <x v="0"/>
  </r>
  <r>
    <s v="ORD10189"/>
    <d v="2025-05-08T00:00:00"/>
    <x v="4"/>
    <x v="103"/>
    <x v="9"/>
    <x v="1"/>
    <x v="2"/>
    <n v="2"/>
    <n v="1260"/>
    <n v="0.1"/>
    <n v="2268"/>
    <n v="1532.84"/>
    <n v="735.16"/>
    <x v="0"/>
  </r>
  <r>
    <s v="ORD10238"/>
    <d v="2025-05-11T00:00:00"/>
    <x v="4"/>
    <x v="104"/>
    <x v="3"/>
    <x v="1"/>
    <x v="3"/>
    <n v="1"/>
    <n v="3870"/>
    <n v="0"/>
    <n v="3870"/>
    <n v="2532.86"/>
    <n v="1337.14"/>
    <x v="3"/>
  </r>
  <r>
    <s v="ORD10478"/>
    <d v="2025-05-14T00:00:00"/>
    <x v="4"/>
    <x v="4"/>
    <x v="4"/>
    <x v="1"/>
    <x v="2"/>
    <n v="1"/>
    <n v="2060"/>
    <n v="0.05"/>
    <n v="1957"/>
    <n v="1175.8499999999999"/>
    <n v="781.15"/>
    <x v="3"/>
  </r>
  <r>
    <s v="ORD10091"/>
    <d v="2025-05-17T00:00:00"/>
    <x v="4"/>
    <x v="105"/>
    <x v="8"/>
    <x v="3"/>
    <x v="1"/>
    <n v="2"/>
    <n v="5460"/>
    <n v="0"/>
    <n v="10920"/>
    <n v="7357.04"/>
    <n v="3562.96"/>
    <x v="1"/>
  </r>
  <r>
    <s v="ORD10341"/>
    <d v="2025-05-17T00:00:00"/>
    <x v="4"/>
    <x v="106"/>
    <x v="12"/>
    <x v="2"/>
    <x v="2"/>
    <n v="1"/>
    <n v="2920"/>
    <n v="0.15"/>
    <n v="2482"/>
    <n v="1869.14"/>
    <n v="612.86"/>
    <x v="4"/>
  </r>
  <r>
    <s v="ORD10353"/>
    <d v="2025-05-17T00:00:00"/>
    <x v="4"/>
    <x v="95"/>
    <x v="13"/>
    <x v="0"/>
    <x v="1"/>
    <n v="1"/>
    <n v="2350"/>
    <n v="0.1"/>
    <n v="2115"/>
    <n v="1329.98"/>
    <n v="785.02"/>
    <x v="2"/>
  </r>
  <r>
    <s v="ORD10334"/>
    <d v="2025-05-21T00:00:00"/>
    <x v="4"/>
    <x v="33"/>
    <x v="8"/>
    <x v="3"/>
    <x v="0"/>
    <n v="1"/>
    <n v="5620"/>
    <n v="0.15"/>
    <n v="4777"/>
    <n v="3621.84"/>
    <n v="1155.1600000000001"/>
    <x v="1"/>
  </r>
  <r>
    <s v="ORD10445"/>
    <d v="2025-05-24T00:00:00"/>
    <x v="4"/>
    <x v="107"/>
    <x v="10"/>
    <x v="3"/>
    <x v="0"/>
    <n v="2"/>
    <n v="1750"/>
    <n v="0.05"/>
    <n v="3325"/>
    <n v="2049.54"/>
    <n v="1275.46"/>
    <x v="0"/>
  </r>
  <r>
    <s v="ORD10020"/>
    <d v="2025-05-28T00:00:00"/>
    <x v="4"/>
    <x v="108"/>
    <x v="11"/>
    <x v="3"/>
    <x v="0"/>
    <n v="2"/>
    <n v="3100"/>
    <n v="0.1"/>
    <n v="5580"/>
    <n v="3815.18"/>
    <n v="1764.82"/>
    <x v="0"/>
  </r>
  <r>
    <s v="ORD10295"/>
    <d v="2025-05-29T00:00:00"/>
    <x v="4"/>
    <x v="47"/>
    <x v="14"/>
    <x v="0"/>
    <x v="0"/>
    <n v="2"/>
    <n v="1830"/>
    <n v="0"/>
    <n v="3660"/>
    <n v="2121.0300000000002"/>
    <n v="1538.97"/>
    <x v="3"/>
  </r>
  <r>
    <s v="ORD10407"/>
    <d v="2025-05-29T00:00:00"/>
    <x v="4"/>
    <x v="74"/>
    <x v="10"/>
    <x v="3"/>
    <x v="3"/>
    <n v="4"/>
    <n v="1820"/>
    <n v="0.05"/>
    <n v="6916"/>
    <n v="4244.9799999999996"/>
    <n v="2671.02"/>
    <x v="1"/>
  </r>
  <r>
    <s v="ORD10453"/>
    <d v="2025-05-30T00:00:00"/>
    <x v="4"/>
    <x v="94"/>
    <x v="14"/>
    <x v="0"/>
    <x v="1"/>
    <n v="1"/>
    <n v="1930"/>
    <n v="0.1"/>
    <n v="1737"/>
    <n v="1075.22"/>
    <n v="661.78"/>
    <x v="1"/>
  </r>
  <r>
    <s v="ORD10115"/>
    <d v="2025-06-01T00:00:00"/>
    <x v="5"/>
    <x v="109"/>
    <x v="4"/>
    <x v="1"/>
    <x v="1"/>
    <n v="1"/>
    <n v="1970"/>
    <n v="0.15"/>
    <n v="1674.5"/>
    <n v="1216.18"/>
    <n v="458.32"/>
    <x v="0"/>
  </r>
  <r>
    <s v="ORD10288"/>
    <d v="2025-06-03T00:00:00"/>
    <x v="5"/>
    <x v="110"/>
    <x v="1"/>
    <x v="1"/>
    <x v="0"/>
    <n v="4"/>
    <n v="2490"/>
    <n v="0.1"/>
    <n v="8964"/>
    <n v="6140.62"/>
    <n v="2823.38"/>
    <x v="3"/>
  </r>
  <r>
    <s v="ORD10267"/>
    <d v="2025-06-04T00:00:00"/>
    <x v="5"/>
    <x v="111"/>
    <x v="3"/>
    <x v="1"/>
    <x v="1"/>
    <n v="1"/>
    <n v="3940"/>
    <n v="0.1"/>
    <n v="3546"/>
    <n v="2447.06"/>
    <n v="1098.94"/>
    <x v="2"/>
  </r>
  <r>
    <s v="ORD10381"/>
    <d v="2025-06-04T00:00:00"/>
    <x v="5"/>
    <x v="112"/>
    <x v="5"/>
    <x v="3"/>
    <x v="0"/>
    <n v="4"/>
    <n v="3500"/>
    <n v="0"/>
    <n v="14000"/>
    <n v="8900.7900000000009"/>
    <n v="5099.21"/>
    <x v="0"/>
  </r>
  <r>
    <s v="ORD10452"/>
    <d v="2025-06-05T00:00:00"/>
    <x v="5"/>
    <x v="113"/>
    <x v="12"/>
    <x v="2"/>
    <x v="1"/>
    <n v="1"/>
    <n v="3080"/>
    <n v="0.1"/>
    <n v="2772"/>
    <n v="1808.65"/>
    <n v="963.35"/>
    <x v="0"/>
  </r>
  <r>
    <s v="ORD10024"/>
    <d v="2025-06-10T00:00:00"/>
    <x v="5"/>
    <x v="114"/>
    <x v="11"/>
    <x v="3"/>
    <x v="1"/>
    <n v="1"/>
    <n v="3060"/>
    <n v="0.05"/>
    <n v="2907"/>
    <n v="1975.85"/>
    <n v="931.15"/>
    <x v="3"/>
  </r>
  <r>
    <s v="ORD10093"/>
    <d v="2025-06-10T00:00:00"/>
    <x v="5"/>
    <x v="65"/>
    <x v="10"/>
    <x v="3"/>
    <x v="2"/>
    <n v="2"/>
    <n v="1820"/>
    <n v="0"/>
    <n v="3640"/>
    <n v="2059.4299999999998"/>
    <n v="1580.57"/>
    <x v="3"/>
  </r>
  <r>
    <s v="ORD10163"/>
    <d v="2025-06-10T00:00:00"/>
    <x v="5"/>
    <x v="115"/>
    <x v="1"/>
    <x v="1"/>
    <x v="2"/>
    <n v="3"/>
    <n v="2550"/>
    <n v="0.1"/>
    <n v="6885"/>
    <n v="4755.6099999999997"/>
    <n v="2129.39"/>
    <x v="2"/>
  </r>
  <r>
    <s v="ORD10097"/>
    <d v="2025-06-11T00:00:00"/>
    <x v="5"/>
    <x v="116"/>
    <x v="3"/>
    <x v="1"/>
    <x v="2"/>
    <n v="1"/>
    <n v="4050"/>
    <n v="0.15"/>
    <n v="3442.5"/>
    <n v="2429.06"/>
    <n v="1013.44"/>
    <x v="0"/>
  </r>
  <r>
    <s v="ORD10413"/>
    <d v="2025-06-11T00:00:00"/>
    <x v="5"/>
    <x v="71"/>
    <x v="2"/>
    <x v="2"/>
    <x v="3"/>
    <n v="3"/>
    <n v="1570"/>
    <n v="0.05"/>
    <n v="4474.5"/>
    <n v="2636.34"/>
    <n v="1838.16"/>
    <x v="0"/>
  </r>
  <r>
    <s v="ORD10222"/>
    <d v="2025-06-12T00:00:00"/>
    <x v="5"/>
    <x v="117"/>
    <x v="9"/>
    <x v="1"/>
    <x v="1"/>
    <n v="5"/>
    <n v="1290"/>
    <n v="0.05"/>
    <n v="6127.5"/>
    <n v="3878.61"/>
    <n v="2248.89"/>
    <x v="1"/>
  </r>
  <r>
    <s v="ORD10454"/>
    <d v="2025-06-13T00:00:00"/>
    <x v="5"/>
    <x v="21"/>
    <x v="8"/>
    <x v="3"/>
    <x v="0"/>
    <n v="1"/>
    <n v="5310"/>
    <n v="0.15"/>
    <n v="4513.5"/>
    <n v="3691.65"/>
    <n v="821.85"/>
    <x v="3"/>
  </r>
  <r>
    <s v="ORD10081"/>
    <d v="2025-06-14T00:00:00"/>
    <x v="5"/>
    <x v="44"/>
    <x v="1"/>
    <x v="1"/>
    <x v="0"/>
    <n v="2"/>
    <n v="2570"/>
    <n v="0.05"/>
    <n v="4883"/>
    <n v="3079.99"/>
    <n v="1803.01"/>
    <x v="1"/>
  </r>
  <r>
    <s v="ORD10391"/>
    <d v="2025-06-15T00:00:00"/>
    <x v="5"/>
    <x v="118"/>
    <x v="15"/>
    <x v="0"/>
    <x v="3"/>
    <n v="1"/>
    <n v="2750"/>
    <n v="0.1"/>
    <n v="2475"/>
    <n v="1656.28"/>
    <n v="818.72"/>
    <x v="0"/>
  </r>
  <r>
    <s v="ORD10421"/>
    <d v="2025-06-15T00:00:00"/>
    <x v="5"/>
    <x v="24"/>
    <x v="12"/>
    <x v="2"/>
    <x v="2"/>
    <n v="3"/>
    <n v="2970"/>
    <n v="0.05"/>
    <n v="8464.5"/>
    <n v="5652.7"/>
    <n v="2811.8"/>
    <x v="3"/>
  </r>
  <r>
    <s v="ORD10048"/>
    <d v="2025-06-17T00:00:00"/>
    <x v="5"/>
    <x v="119"/>
    <x v="15"/>
    <x v="0"/>
    <x v="1"/>
    <n v="2"/>
    <n v="2710"/>
    <n v="0"/>
    <n v="5420"/>
    <n v="3396.35"/>
    <n v="2023.65"/>
    <x v="2"/>
  </r>
  <r>
    <s v="ORD10312"/>
    <d v="2025-06-19T00:00:00"/>
    <x v="5"/>
    <x v="120"/>
    <x v="4"/>
    <x v="1"/>
    <x v="1"/>
    <n v="3"/>
    <n v="1990"/>
    <n v="0"/>
    <n v="5970"/>
    <n v="3498.3"/>
    <n v="2471.6999999999998"/>
    <x v="2"/>
  </r>
  <r>
    <s v="ORD10427"/>
    <d v="2025-06-20T00:00:00"/>
    <x v="5"/>
    <x v="121"/>
    <x v="9"/>
    <x v="1"/>
    <x v="1"/>
    <n v="3"/>
    <n v="1300"/>
    <n v="0"/>
    <n v="3900"/>
    <n v="2263.5300000000002"/>
    <n v="1636.47"/>
    <x v="0"/>
  </r>
  <r>
    <s v="ORD10052"/>
    <d v="2025-06-22T00:00:00"/>
    <x v="5"/>
    <x v="122"/>
    <x v="14"/>
    <x v="0"/>
    <x v="1"/>
    <n v="2"/>
    <n v="1830"/>
    <n v="0.25"/>
    <n v="2745"/>
    <n v="2106.79"/>
    <n v="638.21"/>
    <x v="2"/>
  </r>
  <r>
    <s v="ORD10199"/>
    <d v="2025-06-22T00:00:00"/>
    <x v="5"/>
    <x v="123"/>
    <x v="6"/>
    <x v="2"/>
    <x v="1"/>
    <n v="2"/>
    <n v="1930"/>
    <n v="0.15"/>
    <n v="3281"/>
    <n v="2242.6999999999998"/>
    <n v="1038.3"/>
    <x v="1"/>
  </r>
  <r>
    <s v="ORD10245"/>
    <d v="2025-06-22T00:00:00"/>
    <x v="5"/>
    <x v="124"/>
    <x v="7"/>
    <x v="2"/>
    <x v="3"/>
    <n v="1"/>
    <n v="1470"/>
    <n v="0.15"/>
    <n v="1249.5"/>
    <n v="869.01"/>
    <n v="380.49"/>
    <x v="1"/>
  </r>
  <r>
    <s v="ORD10358"/>
    <d v="2025-06-24T00:00:00"/>
    <x v="5"/>
    <x v="66"/>
    <x v="7"/>
    <x v="2"/>
    <x v="0"/>
    <n v="1"/>
    <n v="1510"/>
    <n v="0.1"/>
    <n v="1359"/>
    <n v="825.63"/>
    <n v="533.37"/>
    <x v="0"/>
  </r>
  <r>
    <s v="ORD10227"/>
    <d v="2025-06-26T00:00:00"/>
    <x v="5"/>
    <x v="125"/>
    <x v="3"/>
    <x v="1"/>
    <x v="2"/>
    <n v="2"/>
    <n v="3890"/>
    <n v="0.1"/>
    <n v="7002"/>
    <n v="5133.71"/>
    <n v="1868.29"/>
    <x v="0"/>
  </r>
  <r>
    <s v="ORD10494"/>
    <d v="2025-06-26T00:00:00"/>
    <x v="5"/>
    <x v="126"/>
    <x v="12"/>
    <x v="2"/>
    <x v="1"/>
    <n v="1"/>
    <n v="3000"/>
    <n v="0.1"/>
    <n v="2700"/>
    <n v="1826.49"/>
    <n v="873.51"/>
    <x v="0"/>
  </r>
  <r>
    <s v="ORD10221"/>
    <d v="2025-07-01T00:00:00"/>
    <x v="6"/>
    <x v="127"/>
    <x v="7"/>
    <x v="2"/>
    <x v="1"/>
    <n v="1"/>
    <n v="1500"/>
    <n v="0.2"/>
    <n v="1200"/>
    <n v="825.18"/>
    <n v="374.82"/>
    <x v="0"/>
  </r>
  <r>
    <s v="ORD10196"/>
    <d v="2025-07-02T00:00:00"/>
    <x v="6"/>
    <x v="16"/>
    <x v="10"/>
    <x v="3"/>
    <x v="1"/>
    <n v="3"/>
    <n v="1820"/>
    <n v="0.05"/>
    <n v="5187"/>
    <n v="3208.72"/>
    <n v="1978.28"/>
    <x v="0"/>
  </r>
  <r>
    <s v="ORD10159"/>
    <d v="2025-07-03T00:00:00"/>
    <x v="6"/>
    <x v="128"/>
    <x v="0"/>
    <x v="0"/>
    <x v="2"/>
    <n v="2"/>
    <n v="3370"/>
    <n v="0"/>
    <n v="6740"/>
    <n v="4151.6000000000004"/>
    <n v="2588.4"/>
    <x v="3"/>
  </r>
  <r>
    <s v="ORD10426"/>
    <d v="2025-07-06T00:00:00"/>
    <x v="6"/>
    <x v="129"/>
    <x v="9"/>
    <x v="1"/>
    <x v="1"/>
    <n v="1"/>
    <n v="1300"/>
    <n v="0.05"/>
    <n v="1235"/>
    <n v="769.58"/>
    <n v="465.42"/>
    <x v="2"/>
  </r>
  <r>
    <s v="ORD10436"/>
    <d v="2025-07-06T00:00:00"/>
    <x v="6"/>
    <x v="130"/>
    <x v="8"/>
    <x v="3"/>
    <x v="2"/>
    <n v="3"/>
    <n v="5300"/>
    <n v="0.05"/>
    <n v="15105"/>
    <n v="10857.25"/>
    <n v="4247.75"/>
    <x v="0"/>
  </r>
  <r>
    <s v="ORD10282"/>
    <d v="2025-07-07T00:00:00"/>
    <x v="6"/>
    <x v="131"/>
    <x v="11"/>
    <x v="3"/>
    <x v="2"/>
    <n v="1"/>
    <n v="3090"/>
    <n v="0"/>
    <n v="3090"/>
    <n v="1971.26"/>
    <n v="1118.74"/>
    <x v="1"/>
  </r>
  <r>
    <s v="ORD10471"/>
    <d v="2025-07-08T00:00:00"/>
    <x v="6"/>
    <x v="132"/>
    <x v="12"/>
    <x v="2"/>
    <x v="2"/>
    <n v="3"/>
    <n v="2900"/>
    <n v="0.1"/>
    <n v="7830"/>
    <n v="5571.93"/>
    <n v="2258.0700000000002"/>
    <x v="0"/>
  </r>
  <r>
    <s v="ORD10203"/>
    <d v="2025-07-09T00:00:00"/>
    <x v="6"/>
    <x v="133"/>
    <x v="0"/>
    <x v="0"/>
    <x v="3"/>
    <n v="1"/>
    <n v="3390"/>
    <n v="0.1"/>
    <n v="3051"/>
    <n v="2098.2399999999998"/>
    <n v="952.76"/>
    <x v="0"/>
  </r>
  <r>
    <s v="ORD10457"/>
    <d v="2025-07-09T00:00:00"/>
    <x v="6"/>
    <x v="134"/>
    <x v="2"/>
    <x v="2"/>
    <x v="2"/>
    <n v="4"/>
    <n v="1600"/>
    <n v="0.1"/>
    <n v="5760"/>
    <n v="3510.37"/>
    <n v="2249.63"/>
    <x v="2"/>
  </r>
  <r>
    <s v="ORD10241"/>
    <d v="2025-07-10T00:00:00"/>
    <x v="6"/>
    <x v="135"/>
    <x v="12"/>
    <x v="2"/>
    <x v="2"/>
    <n v="1"/>
    <n v="2900"/>
    <n v="0.05"/>
    <n v="2755"/>
    <n v="1879.21"/>
    <n v="875.79"/>
    <x v="2"/>
  </r>
  <r>
    <s v="ORD10043"/>
    <d v="2025-07-11T00:00:00"/>
    <x v="6"/>
    <x v="4"/>
    <x v="1"/>
    <x v="1"/>
    <x v="2"/>
    <n v="1"/>
    <n v="2520"/>
    <n v="0.05"/>
    <n v="2394"/>
    <n v="1584.14"/>
    <n v="809.86"/>
    <x v="1"/>
  </r>
  <r>
    <s v="ORD10416"/>
    <d v="2025-07-11T00:00:00"/>
    <x v="6"/>
    <x v="51"/>
    <x v="14"/>
    <x v="0"/>
    <x v="3"/>
    <n v="1"/>
    <n v="1950"/>
    <n v="0"/>
    <n v="1950"/>
    <n v="1068.96"/>
    <n v="881.04"/>
    <x v="3"/>
  </r>
  <r>
    <s v="ORD10066"/>
    <d v="2025-07-14T00:00:00"/>
    <x v="6"/>
    <x v="136"/>
    <x v="10"/>
    <x v="3"/>
    <x v="2"/>
    <n v="2"/>
    <n v="1850"/>
    <n v="0.05"/>
    <n v="3515"/>
    <n v="2080.48"/>
    <n v="1434.52"/>
    <x v="4"/>
  </r>
  <r>
    <s v="ORD10125"/>
    <d v="2025-07-14T00:00:00"/>
    <x v="6"/>
    <x v="137"/>
    <x v="1"/>
    <x v="1"/>
    <x v="3"/>
    <n v="3"/>
    <n v="2510"/>
    <n v="0.1"/>
    <n v="6777"/>
    <n v="4534.7700000000004"/>
    <n v="2242.23"/>
    <x v="2"/>
  </r>
  <r>
    <s v="ORD10042"/>
    <d v="2025-07-15T00:00:00"/>
    <x v="6"/>
    <x v="138"/>
    <x v="11"/>
    <x v="3"/>
    <x v="0"/>
    <n v="4"/>
    <n v="2980"/>
    <n v="0"/>
    <n v="11920"/>
    <n v="8018.83"/>
    <n v="3901.17"/>
    <x v="0"/>
  </r>
  <r>
    <s v="ORD10326"/>
    <d v="2025-07-17T00:00:00"/>
    <x v="6"/>
    <x v="2"/>
    <x v="6"/>
    <x v="2"/>
    <x v="3"/>
    <n v="3"/>
    <n v="1960"/>
    <n v="0.15"/>
    <n v="4998"/>
    <n v="3513.56"/>
    <n v="1484.44"/>
    <x v="1"/>
  </r>
  <r>
    <s v="ORD10139"/>
    <d v="2025-07-18T00:00:00"/>
    <x v="6"/>
    <x v="139"/>
    <x v="14"/>
    <x v="0"/>
    <x v="0"/>
    <n v="1"/>
    <n v="1920"/>
    <n v="0.2"/>
    <n v="1536"/>
    <n v="1068.68"/>
    <n v="467.32"/>
    <x v="0"/>
  </r>
  <r>
    <s v="ORD10249"/>
    <d v="2025-07-20T00:00:00"/>
    <x v="6"/>
    <x v="140"/>
    <x v="9"/>
    <x v="1"/>
    <x v="3"/>
    <n v="3"/>
    <n v="1310"/>
    <n v="0.15"/>
    <n v="3340.5"/>
    <n v="2282.39"/>
    <n v="1058.1099999999999"/>
    <x v="1"/>
  </r>
  <r>
    <s v="ORD10224"/>
    <d v="2025-07-22T00:00:00"/>
    <x v="6"/>
    <x v="141"/>
    <x v="4"/>
    <x v="1"/>
    <x v="3"/>
    <n v="4"/>
    <n v="1990"/>
    <n v="0"/>
    <n v="7960"/>
    <n v="4730.93"/>
    <n v="3229.07"/>
    <x v="3"/>
  </r>
  <r>
    <s v="ORD10158"/>
    <d v="2025-07-25T00:00:00"/>
    <x v="6"/>
    <x v="99"/>
    <x v="1"/>
    <x v="1"/>
    <x v="0"/>
    <n v="2"/>
    <n v="2400"/>
    <n v="0.15"/>
    <n v="4080"/>
    <n v="3067.1"/>
    <n v="1012.9"/>
    <x v="3"/>
  </r>
  <r>
    <s v="ORD10103"/>
    <d v="2025-07-28T00:00:00"/>
    <x v="6"/>
    <x v="142"/>
    <x v="11"/>
    <x v="3"/>
    <x v="1"/>
    <n v="2"/>
    <n v="2910"/>
    <n v="0.05"/>
    <n v="5529"/>
    <n v="3978.37"/>
    <n v="1550.63"/>
    <x v="3"/>
  </r>
  <r>
    <s v="ORD10088"/>
    <d v="2025-07-29T00:00:00"/>
    <x v="6"/>
    <x v="143"/>
    <x v="2"/>
    <x v="2"/>
    <x v="0"/>
    <n v="3"/>
    <n v="1610"/>
    <n v="0.2"/>
    <n v="3864"/>
    <n v="2731.86"/>
    <n v="1132.1400000000001"/>
    <x v="0"/>
  </r>
  <r>
    <s v="ORD10230"/>
    <d v="2025-08-01T00:00:00"/>
    <x v="7"/>
    <x v="144"/>
    <x v="9"/>
    <x v="1"/>
    <x v="0"/>
    <n v="1"/>
    <n v="1310"/>
    <n v="0.2"/>
    <n v="1048"/>
    <n v="771.43"/>
    <n v="276.57"/>
    <x v="0"/>
  </r>
  <r>
    <s v="ORD10068"/>
    <d v="2025-08-02T00:00:00"/>
    <x v="7"/>
    <x v="145"/>
    <x v="12"/>
    <x v="2"/>
    <x v="1"/>
    <n v="4"/>
    <n v="2950"/>
    <n v="0"/>
    <n v="11800"/>
    <n v="7535.95"/>
    <n v="4264.05"/>
    <x v="2"/>
  </r>
  <r>
    <s v="ORD10301"/>
    <d v="2025-08-02T00:00:00"/>
    <x v="7"/>
    <x v="137"/>
    <x v="1"/>
    <x v="1"/>
    <x v="1"/>
    <n v="2"/>
    <n v="2520"/>
    <n v="0.2"/>
    <n v="4032"/>
    <n v="3095.05"/>
    <n v="936.95"/>
    <x v="2"/>
  </r>
  <r>
    <s v="ORD10349"/>
    <d v="2025-08-02T00:00:00"/>
    <x v="7"/>
    <x v="146"/>
    <x v="9"/>
    <x v="1"/>
    <x v="2"/>
    <n v="2"/>
    <n v="1260"/>
    <n v="0.2"/>
    <n v="2016"/>
    <n v="1544.12"/>
    <n v="471.88"/>
    <x v="0"/>
  </r>
  <r>
    <s v="ORD10008"/>
    <d v="2025-08-05T00:00:00"/>
    <x v="7"/>
    <x v="147"/>
    <x v="1"/>
    <x v="1"/>
    <x v="1"/>
    <n v="1"/>
    <n v="2410"/>
    <n v="0.15"/>
    <n v="2048.5"/>
    <n v="1595.28"/>
    <n v="453.22"/>
    <x v="3"/>
  </r>
  <r>
    <s v="ORD10177"/>
    <d v="2025-08-06T00:00:00"/>
    <x v="7"/>
    <x v="2"/>
    <x v="7"/>
    <x v="2"/>
    <x v="1"/>
    <n v="3"/>
    <n v="1520"/>
    <n v="0.05"/>
    <n v="4332"/>
    <n v="2564.65"/>
    <n v="1767.35"/>
    <x v="2"/>
  </r>
  <r>
    <s v="ORD10037"/>
    <d v="2025-08-08T00:00:00"/>
    <x v="7"/>
    <x v="148"/>
    <x v="3"/>
    <x v="1"/>
    <x v="1"/>
    <n v="3"/>
    <n v="3990"/>
    <n v="0.15"/>
    <n v="10174.5"/>
    <n v="7319.03"/>
    <n v="2855.47"/>
    <x v="0"/>
  </r>
  <r>
    <s v="ORD10167"/>
    <d v="2025-08-09T00:00:00"/>
    <x v="7"/>
    <x v="149"/>
    <x v="14"/>
    <x v="0"/>
    <x v="2"/>
    <n v="1"/>
    <n v="1900"/>
    <n v="0.1"/>
    <n v="1710"/>
    <n v="1056.8"/>
    <n v="653.20000000000005"/>
    <x v="3"/>
  </r>
  <r>
    <s v="ORD10047"/>
    <d v="2025-08-11T00:00:00"/>
    <x v="7"/>
    <x v="150"/>
    <x v="15"/>
    <x v="0"/>
    <x v="1"/>
    <n v="2"/>
    <n v="2900"/>
    <n v="0.15"/>
    <n v="4930"/>
    <n v="3337.23"/>
    <n v="1592.77"/>
    <x v="1"/>
  </r>
  <r>
    <s v="ORD10387"/>
    <d v="2025-08-11T00:00:00"/>
    <x v="7"/>
    <x v="151"/>
    <x v="0"/>
    <x v="0"/>
    <x v="3"/>
    <n v="3"/>
    <n v="3450"/>
    <n v="0"/>
    <n v="10350"/>
    <n v="6136.33"/>
    <n v="4213.67"/>
    <x v="3"/>
  </r>
  <r>
    <s v="ORD10127"/>
    <d v="2025-08-12T00:00:00"/>
    <x v="7"/>
    <x v="152"/>
    <x v="1"/>
    <x v="1"/>
    <x v="2"/>
    <n v="2"/>
    <n v="2510"/>
    <n v="0.1"/>
    <n v="4518"/>
    <n v="3167.8"/>
    <n v="1350.2"/>
    <x v="2"/>
  </r>
  <r>
    <s v="ORD10077"/>
    <d v="2025-08-13T00:00:00"/>
    <x v="7"/>
    <x v="130"/>
    <x v="7"/>
    <x v="2"/>
    <x v="0"/>
    <n v="2"/>
    <n v="1450"/>
    <n v="0.15"/>
    <n v="2465"/>
    <n v="1700.62"/>
    <n v="764.38"/>
    <x v="3"/>
  </r>
  <r>
    <s v="ORD10134"/>
    <d v="2025-08-15T00:00:00"/>
    <x v="7"/>
    <x v="153"/>
    <x v="11"/>
    <x v="3"/>
    <x v="2"/>
    <n v="1"/>
    <n v="2970"/>
    <n v="0.15"/>
    <n v="2524.5"/>
    <n v="1987.3"/>
    <n v="537.20000000000005"/>
    <x v="3"/>
  </r>
  <r>
    <s v="ORD10237"/>
    <d v="2025-08-15T00:00:00"/>
    <x v="7"/>
    <x v="154"/>
    <x v="1"/>
    <x v="1"/>
    <x v="1"/>
    <n v="3"/>
    <n v="2540"/>
    <n v="0.1"/>
    <n v="6858"/>
    <n v="4598.2"/>
    <n v="2259.8000000000002"/>
    <x v="2"/>
  </r>
  <r>
    <s v="ORD10223"/>
    <d v="2025-08-16T00:00:00"/>
    <x v="7"/>
    <x v="30"/>
    <x v="1"/>
    <x v="1"/>
    <x v="1"/>
    <n v="4"/>
    <n v="2510"/>
    <n v="0"/>
    <n v="10040"/>
    <n v="6166.93"/>
    <n v="3873.07"/>
    <x v="0"/>
  </r>
  <r>
    <s v="ORD10275"/>
    <d v="2025-08-16T00:00:00"/>
    <x v="7"/>
    <x v="146"/>
    <x v="2"/>
    <x v="2"/>
    <x v="1"/>
    <n v="3"/>
    <n v="1600"/>
    <n v="0.1"/>
    <n v="4320"/>
    <n v="2698.76"/>
    <n v="1621.24"/>
    <x v="0"/>
  </r>
  <r>
    <s v="ORD10084"/>
    <d v="2025-08-19T00:00:00"/>
    <x v="7"/>
    <x v="155"/>
    <x v="5"/>
    <x v="3"/>
    <x v="2"/>
    <n v="3"/>
    <n v="3580"/>
    <n v="0.15"/>
    <n v="9129"/>
    <n v="6458.68"/>
    <n v="2670.32"/>
    <x v="4"/>
  </r>
  <r>
    <s v="ORD10053"/>
    <d v="2025-08-21T00:00:00"/>
    <x v="7"/>
    <x v="41"/>
    <x v="4"/>
    <x v="1"/>
    <x v="1"/>
    <n v="5"/>
    <n v="1980"/>
    <n v="0.15"/>
    <n v="8415"/>
    <n v="6085.36"/>
    <n v="2329.64"/>
    <x v="0"/>
  </r>
  <r>
    <s v="ORD10206"/>
    <d v="2025-08-21T00:00:00"/>
    <x v="7"/>
    <x v="108"/>
    <x v="13"/>
    <x v="0"/>
    <x v="2"/>
    <n v="1"/>
    <n v="2340"/>
    <n v="0.25"/>
    <n v="1755"/>
    <n v="1304.51"/>
    <n v="450.49"/>
    <x v="1"/>
  </r>
  <r>
    <s v="ORD10293"/>
    <d v="2025-08-24T00:00:00"/>
    <x v="7"/>
    <x v="20"/>
    <x v="6"/>
    <x v="2"/>
    <x v="1"/>
    <n v="1"/>
    <n v="1990"/>
    <n v="0.1"/>
    <n v="1791"/>
    <n v="1165.1600000000001"/>
    <n v="625.84"/>
    <x v="2"/>
  </r>
  <r>
    <s v="ORD10386"/>
    <d v="2025-08-27T00:00:00"/>
    <x v="7"/>
    <x v="143"/>
    <x v="11"/>
    <x v="3"/>
    <x v="0"/>
    <n v="3"/>
    <n v="2910"/>
    <n v="0.2"/>
    <n v="6984"/>
    <n v="5744.89"/>
    <n v="1239.1099999999999"/>
    <x v="0"/>
  </r>
  <r>
    <s v="ORD10330"/>
    <d v="2025-08-28T00:00:00"/>
    <x v="7"/>
    <x v="108"/>
    <x v="13"/>
    <x v="0"/>
    <x v="0"/>
    <n v="1"/>
    <n v="2370"/>
    <n v="0"/>
    <n v="2370"/>
    <n v="1273.27"/>
    <n v="1096.73"/>
    <x v="3"/>
  </r>
  <r>
    <s v="ORD10012"/>
    <d v="2025-08-29T00:00:00"/>
    <x v="7"/>
    <x v="81"/>
    <x v="4"/>
    <x v="1"/>
    <x v="1"/>
    <n v="4"/>
    <n v="1980"/>
    <n v="0.05"/>
    <n v="7524"/>
    <n v="4873.6000000000004"/>
    <n v="2650.4"/>
    <x v="3"/>
  </r>
  <r>
    <s v="ORD10143"/>
    <d v="2025-08-30T00:00:00"/>
    <x v="7"/>
    <x v="156"/>
    <x v="10"/>
    <x v="3"/>
    <x v="1"/>
    <n v="1"/>
    <n v="1730"/>
    <n v="0.05"/>
    <n v="1643.5"/>
    <n v="1023.45"/>
    <n v="620.04999999999995"/>
    <x v="3"/>
  </r>
  <r>
    <s v="ORD10195"/>
    <d v="2025-08-30T00:00:00"/>
    <x v="7"/>
    <x v="157"/>
    <x v="5"/>
    <x v="3"/>
    <x v="0"/>
    <n v="1"/>
    <n v="3460"/>
    <n v="0"/>
    <n v="3460"/>
    <n v="2169.09"/>
    <n v="1290.9100000000001"/>
    <x v="0"/>
  </r>
  <r>
    <s v="ORD10013"/>
    <d v="2025-08-31T00:00:00"/>
    <x v="7"/>
    <x v="158"/>
    <x v="0"/>
    <x v="0"/>
    <x v="1"/>
    <n v="3"/>
    <n v="3600"/>
    <n v="0.1"/>
    <n v="9720"/>
    <n v="6414.79"/>
    <n v="3305.21"/>
    <x v="2"/>
  </r>
  <r>
    <s v="ORD10229"/>
    <d v="2025-08-31T00:00:00"/>
    <x v="7"/>
    <x v="12"/>
    <x v="10"/>
    <x v="3"/>
    <x v="0"/>
    <n v="1"/>
    <n v="1770"/>
    <n v="0"/>
    <n v="1770"/>
    <n v="1066.18"/>
    <n v="703.82"/>
    <x v="0"/>
  </r>
  <r>
    <s v="ORD10461"/>
    <d v="2025-08-31T00:00:00"/>
    <x v="7"/>
    <x v="58"/>
    <x v="12"/>
    <x v="2"/>
    <x v="2"/>
    <n v="2"/>
    <n v="2890"/>
    <n v="0.05"/>
    <n v="5491"/>
    <n v="3652.17"/>
    <n v="1838.83"/>
    <x v="1"/>
  </r>
  <r>
    <s v="ORD10185"/>
    <d v="2025-09-01T00:00:00"/>
    <x v="8"/>
    <x v="67"/>
    <x v="13"/>
    <x v="0"/>
    <x v="1"/>
    <n v="1"/>
    <n v="2280"/>
    <n v="0.15"/>
    <n v="1938"/>
    <n v="1329.48"/>
    <n v="608.52"/>
    <x v="2"/>
  </r>
  <r>
    <s v="ORD10359"/>
    <d v="2025-09-02T00:00:00"/>
    <x v="8"/>
    <x v="159"/>
    <x v="1"/>
    <x v="1"/>
    <x v="1"/>
    <n v="1"/>
    <n v="2440"/>
    <n v="0.15"/>
    <n v="2074"/>
    <n v="1539.94"/>
    <n v="534.05999999999995"/>
    <x v="0"/>
  </r>
  <r>
    <s v="ORD10355"/>
    <d v="2025-09-04T00:00:00"/>
    <x v="8"/>
    <x v="160"/>
    <x v="1"/>
    <x v="1"/>
    <x v="1"/>
    <n v="3"/>
    <n v="2430"/>
    <n v="0.1"/>
    <n v="6561"/>
    <n v="4533.8100000000004"/>
    <n v="2027.19"/>
    <x v="1"/>
  </r>
  <r>
    <s v="ORD10409"/>
    <d v="2025-09-04T00:00:00"/>
    <x v="8"/>
    <x v="40"/>
    <x v="7"/>
    <x v="2"/>
    <x v="2"/>
    <n v="1"/>
    <n v="1480"/>
    <n v="0"/>
    <n v="1480"/>
    <n v="867.83"/>
    <n v="612.16999999999996"/>
    <x v="1"/>
  </r>
  <r>
    <s v="ORD10343"/>
    <d v="2025-09-05T00:00:00"/>
    <x v="8"/>
    <x v="111"/>
    <x v="8"/>
    <x v="3"/>
    <x v="1"/>
    <n v="2"/>
    <n v="5370"/>
    <n v="0.15"/>
    <n v="9129"/>
    <n v="7266.53"/>
    <n v="1862.47"/>
    <x v="3"/>
  </r>
  <r>
    <s v="ORD10126"/>
    <d v="2025-09-08T00:00:00"/>
    <x v="8"/>
    <x v="161"/>
    <x v="10"/>
    <x v="3"/>
    <x v="0"/>
    <n v="1"/>
    <n v="1830"/>
    <n v="0.05"/>
    <n v="1738.5"/>
    <n v="1023.3"/>
    <n v="715.2"/>
    <x v="3"/>
  </r>
  <r>
    <s v="ORD10038"/>
    <d v="2025-09-11T00:00:00"/>
    <x v="8"/>
    <x v="162"/>
    <x v="8"/>
    <x v="3"/>
    <x v="2"/>
    <n v="2"/>
    <n v="5300"/>
    <n v="0.1"/>
    <n v="9540"/>
    <n v="7145.83"/>
    <n v="2394.17"/>
    <x v="3"/>
  </r>
  <r>
    <s v="ORD10219"/>
    <d v="2025-09-11T00:00:00"/>
    <x v="8"/>
    <x v="163"/>
    <x v="4"/>
    <x v="1"/>
    <x v="2"/>
    <n v="4"/>
    <n v="1930"/>
    <n v="0.15"/>
    <n v="6562"/>
    <n v="4901.59"/>
    <n v="1660.41"/>
    <x v="1"/>
  </r>
  <r>
    <s v="ORD10324"/>
    <d v="2025-09-11T00:00:00"/>
    <x v="8"/>
    <x v="139"/>
    <x v="3"/>
    <x v="1"/>
    <x v="2"/>
    <n v="1"/>
    <n v="4030"/>
    <n v="0.05"/>
    <n v="3828.5"/>
    <n v="2469.48"/>
    <n v="1359.02"/>
    <x v="4"/>
  </r>
  <r>
    <s v="ORD10207"/>
    <d v="2025-09-13T00:00:00"/>
    <x v="8"/>
    <x v="79"/>
    <x v="6"/>
    <x v="2"/>
    <x v="2"/>
    <n v="4"/>
    <n v="1950"/>
    <n v="0"/>
    <n v="7800"/>
    <n v="4498.3599999999997"/>
    <n v="3301.64"/>
    <x v="4"/>
  </r>
  <r>
    <s v="ORD10375"/>
    <d v="2025-09-15T00:00:00"/>
    <x v="8"/>
    <x v="164"/>
    <x v="2"/>
    <x v="2"/>
    <x v="0"/>
    <n v="2"/>
    <n v="1640"/>
    <n v="0.2"/>
    <n v="2624"/>
    <n v="1843.53"/>
    <n v="780.47"/>
    <x v="2"/>
  </r>
  <r>
    <s v="ORD10015"/>
    <d v="2025-09-16T00:00:00"/>
    <x v="8"/>
    <x v="165"/>
    <x v="12"/>
    <x v="2"/>
    <x v="1"/>
    <n v="1"/>
    <n v="2910"/>
    <n v="0.05"/>
    <n v="2764.5"/>
    <n v="1831.98"/>
    <n v="932.52"/>
    <x v="3"/>
  </r>
  <r>
    <s v="ORD10192"/>
    <d v="2025-09-17T00:00:00"/>
    <x v="8"/>
    <x v="166"/>
    <x v="12"/>
    <x v="2"/>
    <x v="0"/>
    <n v="1"/>
    <n v="2920"/>
    <n v="0.05"/>
    <n v="2774"/>
    <n v="1867.29"/>
    <n v="906.71"/>
    <x v="0"/>
  </r>
  <r>
    <s v="ORD10086"/>
    <d v="2025-09-18T00:00:00"/>
    <x v="8"/>
    <x v="167"/>
    <x v="10"/>
    <x v="3"/>
    <x v="2"/>
    <n v="3"/>
    <n v="1810"/>
    <n v="0"/>
    <n v="5430"/>
    <n v="3162.38"/>
    <n v="2267.62"/>
    <x v="3"/>
  </r>
  <r>
    <s v="ORD10154"/>
    <d v="2025-09-18T00:00:00"/>
    <x v="8"/>
    <x v="168"/>
    <x v="1"/>
    <x v="1"/>
    <x v="1"/>
    <n v="1"/>
    <n v="2490"/>
    <n v="0.2"/>
    <n v="1992"/>
    <n v="1525.45"/>
    <n v="466.55"/>
    <x v="1"/>
  </r>
  <r>
    <s v="ORD10021"/>
    <d v="2025-09-20T00:00:00"/>
    <x v="8"/>
    <x v="169"/>
    <x v="2"/>
    <x v="2"/>
    <x v="0"/>
    <n v="2"/>
    <n v="1570"/>
    <n v="0.1"/>
    <n v="2826"/>
    <n v="1756.06"/>
    <n v="1069.94"/>
    <x v="2"/>
  </r>
  <r>
    <s v="ORD10176"/>
    <d v="2025-09-20T00:00:00"/>
    <x v="8"/>
    <x v="7"/>
    <x v="9"/>
    <x v="1"/>
    <x v="0"/>
    <n v="2"/>
    <n v="1320"/>
    <n v="0.15"/>
    <n v="2244"/>
    <n v="1564.8"/>
    <n v="679.2"/>
    <x v="3"/>
  </r>
  <r>
    <s v="ORD10313"/>
    <d v="2025-09-22T00:00:00"/>
    <x v="8"/>
    <x v="170"/>
    <x v="9"/>
    <x v="1"/>
    <x v="1"/>
    <n v="4"/>
    <n v="1300"/>
    <n v="0.1"/>
    <n v="4680"/>
    <n v="3036.63"/>
    <n v="1643.37"/>
    <x v="4"/>
  </r>
  <r>
    <s v="ORD10368"/>
    <d v="2025-09-22T00:00:00"/>
    <x v="8"/>
    <x v="86"/>
    <x v="10"/>
    <x v="3"/>
    <x v="2"/>
    <n v="1"/>
    <n v="1810"/>
    <n v="0.05"/>
    <n v="1719.5"/>
    <n v="1045.79"/>
    <n v="673.71"/>
    <x v="3"/>
  </r>
  <r>
    <s v="ORD10166"/>
    <d v="2025-09-24T00:00:00"/>
    <x v="8"/>
    <x v="171"/>
    <x v="3"/>
    <x v="1"/>
    <x v="2"/>
    <n v="2"/>
    <n v="3960"/>
    <n v="0.1"/>
    <n v="7128"/>
    <n v="5109"/>
    <n v="2019"/>
    <x v="1"/>
  </r>
  <r>
    <s v="ORD10061"/>
    <d v="2025-09-25T00:00:00"/>
    <x v="8"/>
    <x v="98"/>
    <x v="15"/>
    <x v="0"/>
    <x v="0"/>
    <n v="1"/>
    <n v="2820"/>
    <n v="0.15"/>
    <n v="2397"/>
    <n v="1648.02"/>
    <n v="748.98"/>
    <x v="4"/>
  </r>
  <r>
    <s v="ORD10232"/>
    <d v="2025-09-25T00:00:00"/>
    <x v="8"/>
    <x v="57"/>
    <x v="14"/>
    <x v="0"/>
    <x v="2"/>
    <n v="3"/>
    <n v="1920"/>
    <n v="0.1"/>
    <n v="5184"/>
    <n v="3206.31"/>
    <n v="1977.69"/>
    <x v="0"/>
  </r>
  <r>
    <s v="ORD10261"/>
    <d v="2025-09-25T00:00:00"/>
    <x v="8"/>
    <x v="68"/>
    <x v="1"/>
    <x v="1"/>
    <x v="1"/>
    <n v="2"/>
    <n v="2420"/>
    <n v="0"/>
    <n v="4840"/>
    <n v="3110.91"/>
    <n v="1729.09"/>
    <x v="3"/>
  </r>
  <r>
    <s v="ORD10034"/>
    <d v="2025-09-26T00:00:00"/>
    <x v="8"/>
    <x v="86"/>
    <x v="9"/>
    <x v="1"/>
    <x v="3"/>
    <n v="1"/>
    <n v="1290"/>
    <n v="0.1"/>
    <n v="1161"/>
    <n v="771.13"/>
    <n v="389.87"/>
    <x v="1"/>
  </r>
  <r>
    <s v="ORD10007"/>
    <d v="2025-09-27T00:00:00"/>
    <x v="8"/>
    <x v="172"/>
    <x v="10"/>
    <x v="3"/>
    <x v="0"/>
    <n v="2"/>
    <n v="1870"/>
    <n v="0.1"/>
    <n v="3366"/>
    <n v="2143.41"/>
    <n v="1222.5899999999999"/>
    <x v="0"/>
  </r>
  <r>
    <s v="ORD10001"/>
    <d v="2025-09-28T00:00:00"/>
    <x v="8"/>
    <x v="173"/>
    <x v="8"/>
    <x v="3"/>
    <x v="0"/>
    <n v="1"/>
    <n v="5300"/>
    <n v="0"/>
    <n v="5300"/>
    <n v="3679.09"/>
    <n v="1620.91"/>
    <x v="3"/>
  </r>
  <r>
    <s v="ORD10138"/>
    <d v="2025-09-28T00:00:00"/>
    <x v="8"/>
    <x v="174"/>
    <x v="2"/>
    <x v="2"/>
    <x v="2"/>
    <n v="1"/>
    <n v="1550"/>
    <n v="0.05"/>
    <n v="1472.5"/>
    <n v="881.3"/>
    <n v="591.20000000000005"/>
    <x v="3"/>
  </r>
  <r>
    <s v="ORD10036"/>
    <d v="2025-09-29T00:00:00"/>
    <x v="8"/>
    <x v="175"/>
    <x v="1"/>
    <x v="1"/>
    <x v="2"/>
    <n v="2"/>
    <n v="2410"/>
    <n v="0.15"/>
    <n v="4097"/>
    <n v="3112.28"/>
    <n v="984.72"/>
    <x v="1"/>
  </r>
  <r>
    <s v="ORD10308"/>
    <d v="2025-09-29T00:00:00"/>
    <x v="8"/>
    <x v="176"/>
    <x v="12"/>
    <x v="2"/>
    <x v="0"/>
    <n v="1"/>
    <n v="3000"/>
    <n v="0.2"/>
    <n v="2400"/>
    <n v="1818.82"/>
    <n v="581.17999999999995"/>
    <x v="3"/>
  </r>
  <r>
    <s v="ORD10140"/>
    <d v="2025-09-30T00:00:00"/>
    <x v="8"/>
    <x v="0"/>
    <x v="4"/>
    <x v="1"/>
    <x v="2"/>
    <n v="2"/>
    <n v="1940"/>
    <n v="0.05"/>
    <n v="3686"/>
    <n v="2421.8200000000002"/>
    <n v="1264.18"/>
    <x v="0"/>
  </r>
  <r>
    <s v="ORD10400"/>
    <d v="2025-10-03T00:00:00"/>
    <x v="9"/>
    <x v="63"/>
    <x v="2"/>
    <x v="2"/>
    <x v="2"/>
    <n v="1"/>
    <n v="1560"/>
    <n v="0.1"/>
    <n v="1404"/>
    <n v="888.87"/>
    <n v="515.13"/>
    <x v="0"/>
  </r>
  <r>
    <s v="ORD10443"/>
    <d v="2025-10-05T00:00:00"/>
    <x v="9"/>
    <x v="177"/>
    <x v="12"/>
    <x v="2"/>
    <x v="0"/>
    <n v="1"/>
    <n v="2920"/>
    <n v="0.25"/>
    <n v="2190"/>
    <n v="1904.21"/>
    <n v="285.79000000000002"/>
    <x v="0"/>
  </r>
  <r>
    <s v="ORD10473"/>
    <d v="2025-10-05T00:00:00"/>
    <x v="9"/>
    <x v="178"/>
    <x v="5"/>
    <x v="3"/>
    <x v="2"/>
    <n v="3"/>
    <n v="3440"/>
    <n v="0.15"/>
    <n v="8772"/>
    <n v="6774.59"/>
    <n v="1997.41"/>
    <x v="1"/>
  </r>
  <r>
    <s v="ORD10401"/>
    <d v="2025-10-06T00:00:00"/>
    <x v="9"/>
    <x v="179"/>
    <x v="13"/>
    <x v="0"/>
    <x v="1"/>
    <n v="1"/>
    <n v="2290"/>
    <n v="0.2"/>
    <n v="1832"/>
    <n v="1297.3699999999999"/>
    <n v="534.63"/>
    <x v="0"/>
  </r>
  <r>
    <s v="ORD10244"/>
    <d v="2025-10-08T00:00:00"/>
    <x v="9"/>
    <x v="180"/>
    <x v="8"/>
    <x v="3"/>
    <x v="2"/>
    <n v="5"/>
    <n v="5590"/>
    <n v="0"/>
    <n v="27950"/>
    <n v="18510.599999999999"/>
    <n v="9439.4"/>
    <x v="0"/>
  </r>
  <r>
    <s v="ORD10026"/>
    <d v="2025-10-11T00:00:00"/>
    <x v="9"/>
    <x v="181"/>
    <x v="8"/>
    <x v="3"/>
    <x v="0"/>
    <n v="1"/>
    <n v="5530"/>
    <n v="0.1"/>
    <n v="4977"/>
    <n v="3658.01"/>
    <n v="1318.99"/>
    <x v="2"/>
  </r>
  <r>
    <s v="ORD10095"/>
    <d v="2025-10-12T00:00:00"/>
    <x v="9"/>
    <x v="182"/>
    <x v="5"/>
    <x v="3"/>
    <x v="0"/>
    <n v="3"/>
    <n v="3440"/>
    <n v="0.1"/>
    <n v="9288"/>
    <n v="6684.77"/>
    <n v="2603.23"/>
    <x v="0"/>
  </r>
  <r>
    <s v="ORD10029"/>
    <d v="2025-10-15T00:00:00"/>
    <x v="9"/>
    <x v="18"/>
    <x v="0"/>
    <x v="0"/>
    <x v="0"/>
    <n v="1"/>
    <n v="3450"/>
    <n v="0.05"/>
    <n v="3277.5"/>
    <n v="2143.9299999999998"/>
    <n v="1133.57"/>
    <x v="0"/>
  </r>
  <r>
    <s v="ORD10148"/>
    <d v="2025-10-15T00:00:00"/>
    <x v="9"/>
    <x v="183"/>
    <x v="6"/>
    <x v="2"/>
    <x v="2"/>
    <n v="2"/>
    <n v="2080"/>
    <n v="0.05"/>
    <n v="3952"/>
    <n v="2365.52"/>
    <n v="1586.48"/>
    <x v="3"/>
  </r>
  <r>
    <s v="ORD10204"/>
    <d v="2025-10-15T00:00:00"/>
    <x v="9"/>
    <x v="165"/>
    <x v="7"/>
    <x v="2"/>
    <x v="0"/>
    <n v="1"/>
    <n v="1470"/>
    <n v="0.2"/>
    <n v="1176"/>
    <n v="843.48"/>
    <n v="332.52"/>
    <x v="0"/>
  </r>
  <r>
    <s v="ORD10240"/>
    <d v="2025-10-16T00:00:00"/>
    <x v="9"/>
    <x v="55"/>
    <x v="0"/>
    <x v="0"/>
    <x v="1"/>
    <n v="1"/>
    <n v="3380"/>
    <n v="0.15"/>
    <n v="2873"/>
    <n v="2059.04"/>
    <n v="813.96"/>
    <x v="1"/>
  </r>
  <r>
    <s v="ORD10489"/>
    <d v="2025-10-16T00:00:00"/>
    <x v="9"/>
    <x v="184"/>
    <x v="7"/>
    <x v="2"/>
    <x v="0"/>
    <n v="3"/>
    <n v="1520"/>
    <n v="0"/>
    <n v="4560"/>
    <n v="2494.92"/>
    <n v="2065.08"/>
    <x v="2"/>
  </r>
  <r>
    <s v="ORD10264"/>
    <d v="2025-10-17T00:00:00"/>
    <x v="9"/>
    <x v="36"/>
    <x v="9"/>
    <x v="1"/>
    <x v="1"/>
    <n v="1"/>
    <n v="1280"/>
    <n v="0.2"/>
    <n v="1024"/>
    <n v="744.24"/>
    <n v="279.76"/>
    <x v="3"/>
  </r>
  <r>
    <s v="ORD10170"/>
    <d v="2025-10-18T00:00:00"/>
    <x v="9"/>
    <x v="185"/>
    <x v="14"/>
    <x v="0"/>
    <x v="2"/>
    <n v="2"/>
    <n v="1970"/>
    <n v="0.1"/>
    <n v="3546"/>
    <n v="2140.7199999999998"/>
    <n v="1405.28"/>
    <x v="0"/>
  </r>
  <r>
    <s v="ORD10107"/>
    <d v="2025-10-19T00:00:00"/>
    <x v="9"/>
    <x v="186"/>
    <x v="6"/>
    <x v="2"/>
    <x v="0"/>
    <n v="3"/>
    <n v="2070"/>
    <n v="0.1"/>
    <n v="5589"/>
    <n v="3495.86"/>
    <n v="2093.14"/>
    <x v="0"/>
  </r>
  <r>
    <s v="ORD10292"/>
    <d v="2025-10-20T00:00:00"/>
    <x v="9"/>
    <x v="92"/>
    <x v="1"/>
    <x v="1"/>
    <x v="1"/>
    <n v="4"/>
    <n v="2490"/>
    <n v="0.1"/>
    <n v="8964"/>
    <n v="6184.26"/>
    <n v="2779.74"/>
    <x v="0"/>
  </r>
  <r>
    <s v="ORD10408"/>
    <d v="2025-10-20T00:00:00"/>
    <x v="9"/>
    <x v="187"/>
    <x v="0"/>
    <x v="0"/>
    <x v="3"/>
    <n v="1"/>
    <n v="3630"/>
    <n v="0.05"/>
    <n v="3448.5"/>
    <n v="2038.3"/>
    <n v="1410.2"/>
    <x v="1"/>
  </r>
  <r>
    <s v="ORD10151"/>
    <d v="2025-10-22T00:00:00"/>
    <x v="9"/>
    <x v="188"/>
    <x v="15"/>
    <x v="0"/>
    <x v="1"/>
    <n v="4"/>
    <n v="2830"/>
    <n v="0.05"/>
    <n v="10754"/>
    <n v="6652.1"/>
    <n v="4101.8999999999996"/>
    <x v="3"/>
  </r>
  <r>
    <s v="ORD10347"/>
    <d v="2025-10-22T00:00:00"/>
    <x v="9"/>
    <x v="153"/>
    <x v="15"/>
    <x v="0"/>
    <x v="1"/>
    <n v="4"/>
    <n v="2860"/>
    <n v="0.1"/>
    <n v="10296"/>
    <n v="6581.92"/>
    <n v="3714.08"/>
    <x v="0"/>
  </r>
  <r>
    <s v="ORD10257"/>
    <d v="2025-10-28T00:00:00"/>
    <x v="9"/>
    <x v="189"/>
    <x v="7"/>
    <x v="2"/>
    <x v="0"/>
    <n v="3"/>
    <n v="1440"/>
    <n v="0.15"/>
    <n v="3672"/>
    <n v="2583.29"/>
    <n v="1088.71"/>
    <x v="4"/>
  </r>
  <r>
    <s v="ORD10415"/>
    <d v="2025-10-29T00:00:00"/>
    <x v="9"/>
    <x v="190"/>
    <x v="5"/>
    <x v="3"/>
    <x v="0"/>
    <n v="1"/>
    <n v="3370"/>
    <n v="0.05"/>
    <n v="3201.5"/>
    <n v="2162.7600000000002"/>
    <n v="1038.74"/>
    <x v="3"/>
  </r>
  <r>
    <s v="ORD10069"/>
    <d v="2025-10-30T00:00:00"/>
    <x v="9"/>
    <x v="88"/>
    <x v="7"/>
    <x v="2"/>
    <x v="2"/>
    <n v="2"/>
    <n v="1490"/>
    <n v="0.05"/>
    <n v="2831"/>
    <n v="1725.24"/>
    <n v="1105.76"/>
    <x v="3"/>
  </r>
  <r>
    <s v="ORD10239"/>
    <d v="2025-11-03T00:00:00"/>
    <x v="10"/>
    <x v="191"/>
    <x v="1"/>
    <x v="1"/>
    <x v="2"/>
    <n v="2"/>
    <n v="2470"/>
    <n v="0.1"/>
    <n v="4446"/>
    <n v="3163.51"/>
    <n v="1282.49"/>
    <x v="1"/>
  </r>
  <r>
    <s v="ORD10063"/>
    <d v="2025-11-04T00:00:00"/>
    <x v="10"/>
    <x v="99"/>
    <x v="11"/>
    <x v="3"/>
    <x v="2"/>
    <n v="4"/>
    <n v="3000"/>
    <n v="0.05"/>
    <n v="11400"/>
    <n v="7892.5"/>
    <n v="3507.5"/>
    <x v="3"/>
  </r>
  <r>
    <s v="ORD10002"/>
    <d v="2025-11-05T00:00:00"/>
    <x v="10"/>
    <x v="192"/>
    <x v="4"/>
    <x v="1"/>
    <x v="3"/>
    <n v="1"/>
    <n v="1950"/>
    <n v="0.05"/>
    <n v="1852.5"/>
    <n v="1185.9100000000001"/>
    <n v="666.59"/>
    <x v="2"/>
  </r>
  <r>
    <s v="ORD10309"/>
    <d v="2025-11-07T00:00:00"/>
    <x v="10"/>
    <x v="84"/>
    <x v="0"/>
    <x v="0"/>
    <x v="1"/>
    <n v="1"/>
    <n v="3560"/>
    <n v="0.15"/>
    <n v="3026"/>
    <n v="2081.7399999999998"/>
    <n v="944.26"/>
    <x v="0"/>
  </r>
  <r>
    <s v="ORD10352"/>
    <d v="2025-11-07T00:00:00"/>
    <x v="10"/>
    <x v="128"/>
    <x v="13"/>
    <x v="0"/>
    <x v="1"/>
    <n v="3"/>
    <n v="2280"/>
    <n v="0.1"/>
    <n v="6156"/>
    <n v="3846.53"/>
    <n v="2309.4699999999998"/>
    <x v="2"/>
  </r>
  <r>
    <s v="ORD10417"/>
    <d v="2025-11-07T00:00:00"/>
    <x v="10"/>
    <x v="7"/>
    <x v="1"/>
    <x v="1"/>
    <x v="2"/>
    <n v="2"/>
    <n v="2580"/>
    <n v="0.05"/>
    <n v="4902"/>
    <n v="3152.73"/>
    <n v="1749.27"/>
    <x v="0"/>
  </r>
  <r>
    <s v="ORD10285"/>
    <d v="2025-11-09T00:00:00"/>
    <x v="10"/>
    <x v="193"/>
    <x v="4"/>
    <x v="1"/>
    <x v="0"/>
    <n v="2"/>
    <n v="1990"/>
    <n v="0.15"/>
    <n v="3383"/>
    <n v="2446.29"/>
    <n v="936.71"/>
    <x v="0"/>
  </r>
  <r>
    <s v="ORD10331"/>
    <d v="2025-11-09T00:00:00"/>
    <x v="10"/>
    <x v="40"/>
    <x v="5"/>
    <x v="3"/>
    <x v="0"/>
    <n v="2"/>
    <n v="3590"/>
    <n v="0.1"/>
    <n v="6462"/>
    <n v="4507.21"/>
    <n v="1954.79"/>
    <x v="0"/>
  </r>
  <r>
    <s v="ORD10345"/>
    <d v="2025-11-10T00:00:00"/>
    <x v="10"/>
    <x v="138"/>
    <x v="5"/>
    <x v="3"/>
    <x v="2"/>
    <n v="1"/>
    <n v="3610"/>
    <n v="0.05"/>
    <n v="3429.5"/>
    <n v="2184.59"/>
    <n v="1244.9100000000001"/>
    <x v="3"/>
  </r>
  <r>
    <s v="ORD10329"/>
    <d v="2025-11-11T00:00:00"/>
    <x v="10"/>
    <x v="128"/>
    <x v="2"/>
    <x v="2"/>
    <x v="2"/>
    <n v="2"/>
    <n v="1590"/>
    <n v="0.1"/>
    <n v="2862"/>
    <n v="1779.35"/>
    <n v="1082.6500000000001"/>
    <x v="1"/>
  </r>
  <r>
    <s v="ORD10448"/>
    <d v="2025-11-12T00:00:00"/>
    <x v="10"/>
    <x v="188"/>
    <x v="7"/>
    <x v="2"/>
    <x v="1"/>
    <n v="1"/>
    <n v="1490"/>
    <n v="0"/>
    <n v="1490"/>
    <n v="872.6"/>
    <n v="617.4"/>
    <x v="0"/>
  </r>
  <r>
    <s v="ORD10118"/>
    <d v="2025-11-14T00:00:00"/>
    <x v="10"/>
    <x v="194"/>
    <x v="12"/>
    <x v="2"/>
    <x v="2"/>
    <n v="3"/>
    <n v="3060"/>
    <n v="0.25"/>
    <n v="6885"/>
    <n v="5522.62"/>
    <n v="1362.38"/>
    <x v="1"/>
  </r>
  <r>
    <s v="ORD10469"/>
    <d v="2025-11-16T00:00:00"/>
    <x v="10"/>
    <x v="195"/>
    <x v="2"/>
    <x v="2"/>
    <x v="0"/>
    <n v="2"/>
    <n v="1550"/>
    <n v="0.2"/>
    <n v="2480"/>
    <n v="1797.56"/>
    <n v="682.44"/>
    <x v="4"/>
  </r>
  <r>
    <s v="ORD10405"/>
    <d v="2025-11-17T00:00:00"/>
    <x v="10"/>
    <x v="16"/>
    <x v="14"/>
    <x v="0"/>
    <x v="0"/>
    <n v="1"/>
    <n v="1920"/>
    <n v="0.1"/>
    <n v="1728"/>
    <n v="1031.78"/>
    <n v="696.22"/>
    <x v="0"/>
  </r>
  <r>
    <s v="ORD10169"/>
    <d v="2025-11-20T00:00:00"/>
    <x v="10"/>
    <x v="174"/>
    <x v="6"/>
    <x v="2"/>
    <x v="3"/>
    <n v="1"/>
    <n v="1960"/>
    <n v="0.1"/>
    <n v="1764"/>
    <n v="1135.1600000000001"/>
    <n v="628.84"/>
    <x v="0"/>
  </r>
  <r>
    <s v="ORD10258"/>
    <d v="2025-11-20T00:00:00"/>
    <x v="10"/>
    <x v="188"/>
    <x v="9"/>
    <x v="1"/>
    <x v="2"/>
    <n v="1"/>
    <n v="1290"/>
    <n v="0"/>
    <n v="1290"/>
    <n v="771.45"/>
    <n v="518.54999999999995"/>
    <x v="3"/>
  </r>
  <r>
    <s v="ORD10039"/>
    <d v="2025-11-21T00:00:00"/>
    <x v="10"/>
    <x v="194"/>
    <x v="14"/>
    <x v="0"/>
    <x v="0"/>
    <n v="4"/>
    <n v="1950"/>
    <n v="0.2"/>
    <n v="6240"/>
    <n v="4234.37"/>
    <n v="2005.63"/>
    <x v="1"/>
  </r>
  <r>
    <s v="ORD10460"/>
    <d v="2025-11-22T00:00:00"/>
    <x v="10"/>
    <x v="196"/>
    <x v="10"/>
    <x v="3"/>
    <x v="2"/>
    <n v="1"/>
    <n v="1820"/>
    <n v="0.15"/>
    <n v="1547"/>
    <n v="1026.03"/>
    <n v="520.97"/>
    <x v="1"/>
  </r>
  <r>
    <s v="ORD10317"/>
    <d v="2025-11-23T00:00:00"/>
    <x v="10"/>
    <x v="197"/>
    <x v="11"/>
    <x v="3"/>
    <x v="3"/>
    <n v="3"/>
    <n v="3090"/>
    <n v="0.15"/>
    <n v="7879.5"/>
    <n v="5865.62"/>
    <n v="2013.88"/>
    <x v="3"/>
  </r>
  <r>
    <s v="ORD10014"/>
    <d v="2025-11-27T00:00:00"/>
    <x v="10"/>
    <x v="198"/>
    <x v="5"/>
    <x v="3"/>
    <x v="1"/>
    <n v="1"/>
    <n v="3440"/>
    <n v="0.2"/>
    <n v="2752"/>
    <n v="2219.5"/>
    <n v="532.5"/>
    <x v="0"/>
  </r>
  <r>
    <s v="ORD10157"/>
    <d v="2025-11-30T00:00:00"/>
    <x v="10"/>
    <x v="111"/>
    <x v="6"/>
    <x v="2"/>
    <x v="1"/>
    <n v="4"/>
    <n v="1940"/>
    <n v="0"/>
    <n v="7760"/>
    <n v="4586.8100000000004"/>
    <n v="3173.19"/>
    <x v="3"/>
  </r>
  <r>
    <s v="ORD10482"/>
    <d v="2025-11-30T00:00:00"/>
    <x v="10"/>
    <x v="199"/>
    <x v="13"/>
    <x v="0"/>
    <x v="3"/>
    <n v="1"/>
    <n v="2240"/>
    <n v="0"/>
    <n v="2240"/>
    <n v="1303.22"/>
    <n v="936.78"/>
    <x v="0"/>
  </r>
  <r>
    <s v="ORD10128"/>
    <d v="2025-12-02T00:00:00"/>
    <x v="11"/>
    <x v="136"/>
    <x v="0"/>
    <x v="0"/>
    <x v="0"/>
    <n v="3"/>
    <n v="3590"/>
    <n v="0.15"/>
    <n v="9154.5"/>
    <n v="6374.64"/>
    <n v="2779.86"/>
    <x v="2"/>
  </r>
  <r>
    <s v="ORD10277"/>
    <d v="2025-12-03T00:00:00"/>
    <x v="11"/>
    <x v="179"/>
    <x v="13"/>
    <x v="0"/>
    <x v="3"/>
    <n v="1"/>
    <n v="2290"/>
    <n v="0.2"/>
    <n v="1832"/>
    <n v="1300.81"/>
    <n v="531.19000000000005"/>
    <x v="2"/>
  </r>
  <r>
    <s v="ORD10327"/>
    <d v="2025-12-06T00:00:00"/>
    <x v="11"/>
    <x v="200"/>
    <x v="5"/>
    <x v="3"/>
    <x v="3"/>
    <n v="2"/>
    <n v="3520"/>
    <n v="0.15"/>
    <n v="5984"/>
    <n v="4518.03"/>
    <n v="1465.97"/>
    <x v="2"/>
  </r>
  <r>
    <s v="ORD10373"/>
    <d v="2025-12-06T00:00:00"/>
    <x v="11"/>
    <x v="118"/>
    <x v="14"/>
    <x v="0"/>
    <x v="0"/>
    <n v="1"/>
    <n v="1890"/>
    <n v="0.05"/>
    <n v="1795.5"/>
    <n v="1035.1300000000001"/>
    <n v="760.37"/>
    <x v="1"/>
  </r>
  <r>
    <s v="ORD10094"/>
    <d v="2025-12-08T00:00:00"/>
    <x v="11"/>
    <x v="201"/>
    <x v="10"/>
    <x v="3"/>
    <x v="1"/>
    <n v="2"/>
    <n v="1740"/>
    <n v="0.1"/>
    <n v="3132"/>
    <n v="2131.5"/>
    <n v="1000.5"/>
    <x v="4"/>
  </r>
  <r>
    <s v="ORD10322"/>
    <d v="2025-12-09T00:00:00"/>
    <x v="11"/>
    <x v="57"/>
    <x v="8"/>
    <x v="3"/>
    <x v="2"/>
    <n v="3"/>
    <n v="5400"/>
    <n v="0.05"/>
    <n v="15390"/>
    <n v="10557.23"/>
    <n v="4832.7700000000004"/>
    <x v="2"/>
  </r>
  <r>
    <s v="ORD10490"/>
    <d v="2025-12-09T00:00:00"/>
    <x v="11"/>
    <x v="12"/>
    <x v="12"/>
    <x v="2"/>
    <x v="2"/>
    <n v="2"/>
    <n v="3120"/>
    <n v="0.15"/>
    <n v="5304"/>
    <n v="3591.46"/>
    <n v="1712.54"/>
    <x v="0"/>
  </r>
  <r>
    <s v="ORD10120"/>
    <d v="2025-12-10T00:00:00"/>
    <x v="11"/>
    <x v="202"/>
    <x v="1"/>
    <x v="1"/>
    <x v="1"/>
    <n v="3"/>
    <n v="2520"/>
    <n v="0.05"/>
    <n v="7182"/>
    <n v="4784.57"/>
    <n v="2397.4299999999998"/>
    <x v="4"/>
  </r>
  <r>
    <s v="ORD10496"/>
    <d v="2025-12-10T00:00:00"/>
    <x v="11"/>
    <x v="112"/>
    <x v="12"/>
    <x v="2"/>
    <x v="2"/>
    <n v="1"/>
    <n v="3090"/>
    <n v="0"/>
    <n v="3090"/>
    <n v="1858.56"/>
    <n v="1231.44"/>
    <x v="2"/>
  </r>
  <r>
    <s v="ORD10090"/>
    <d v="2025-12-12T00:00:00"/>
    <x v="11"/>
    <x v="21"/>
    <x v="1"/>
    <x v="1"/>
    <x v="0"/>
    <n v="4"/>
    <n v="2500"/>
    <n v="0.15"/>
    <n v="8500"/>
    <n v="6233.95"/>
    <n v="2266.0500000000002"/>
    <x v="0"/>
  </r>
  <r>
    <s v="ORD10399"/>
    <d v="2025-12-15T00:00:00"/>
    <x v="11"/>
    <x v="203"/>
    <x v="1"/>
    <x v="1"/>
    <x v="0"/>
    <n v="2"/>
    <n v="2440"/>
    <n v="0.05"/>
    <n v="4636"/>
    <n v="3169.58"/>
    <n v="1466.42"/>
    <x v="0"/>
  </r>
  <r>
    <s v="ORD10243"/>
    <d v="2025-12-20T00:00:00"/>
    <x v="11"/>
    <x v="132"/>
    <x v="6"/>
    <x v="2"/>
    <x v="2"/>
    <n v="3"/>
    <n v="1980"/>
    <n v="0.1"/>
    <n v="5346"/>
    <n v="3548.7"/>
    <n v="1797.3"/>
    <x v="3"/>
  </r>
  <r>
    <s v="ORD10054"/>
    <d v="2025-12-24T00:00:00"/>
    <x v="11"/>
    <x v="48"/>
    <x v="14"/>
    <x v="0"/>
    <x v="2"/>
    <n v="1"/>
    <n v="1890"/>
    <n v="0.05"/>
    <n v="1795.5"/>
    <n v="1040.76"/>
    <n v="754.74"/>
    <x v="1"/>
  </r>
  <r>
    <s v="ORD10202"/>
    <d v="2025-12-26T00:00:00"/>
    <x v="11"/>
    <x v="204"/>
    <x v="14"/>
    <x v="0"/>
    <x v="0"/>
    <n v="1"/>
    <n v="1920"/>
    <n v="0"/>
    <n v="1920"/>
    <n v="1067.3"/>
    <n v="852.7"/>
    <x v="3"/>
  </r>
  <r>
    <s v="ORD10335"/>
    <d v="2025-12-27T00:00:00"/>
    <x v="11"/>
    <x v="60"/>
    <x v="11"/>
    <x v="3"/>
    <x v="3"/>
    <n v="2"/>
    <n v="3110"/>
    <n v="0"/>
    <n v="6220"/>
    <n v="3809.51"/>
    <n v="2410.4899999999998"/>
    <x v="0"/>
  </r>
  <r>
    <s v="ORD10150"/>
    <d v="2025-12-30T00:00:00"/>
    <x v="11"/>
    <x v="205"/>
    <x v="10"/>
    <x v="3"/>
    <x v="0"/>
    <n v="2"/>
    <n v="1810"/>
    <n v="0.1"/>
    <n v="3258"/>
    <n v="2040.7"/>
    <n v="1217.3"/>
    <x v="3"/>
  </r>
  <r>
    <s v="ORD10168"/>
    <d v="2025-12-30T00:00:00"/>
    <x v="11"/>
    <x v="27"/>
    <x v="2"/>
    <x v="2"/>
    <x v="3"/>
    <n v="1"/>
    <n v="1620"/>
    <n v="0"/>
    <n v="1620"/>
    <n v="921.49"/>
    <n v="698.51"/>
    <x v="0"/>
  </r>
  <r>
    <s v="ORD10477"/>
    <d v="2025-12-30T00:00:00"/>
    <x v="11"/>
    <x v="192"/>
    <x v="2"/>
    <x v="2"/>
    <x v="1"/>
    <n v="3"/>
    <n v="1580"/>
    <n v="0.1"/>
    <n v="4266"/>
    <n v="2748.56"/>
    <n v="1517.44"/>
    <x v="2"/>
  </r>
  <r>
    <s v="ORD10404"/>
    <d v="2026-01-02T00:00:00"/>
    <x v="12"/>
    <x v="206"/>
    <x v="5"/>
    <x v="3"/>
    <x v="1"/>
    <n v="2"/>
    <n v="3370"/>
    <n v="0.05"/>
    <n v="6403"/>
    <n v="4459.29"/>
    <n v="1943.71"/>
    <x v="0"/>
  </r>
  <r>
    <s v="ORD10318"/>
    <d v="2026-01-03T00:00:00"/>
    <x v="12"/>
    <x v="168"/>
    <x v="12"/>
    <x v="2"/>
    <x v="1"/>
    <n v="1"/>
    <n v="2900"/>
    <n v="0"/>
    <n v="2900"/>
    <n v="1898.93"/>
    <n v="1001.07"/>
    <x v="2"/>
  </r>
  <r>
    <s v="ORD10367"/>
    <d v="2026-01-03T00:00:00"/>
    <x v="12"/>
    <x v="33"/>
    <x v="5"/>
    <x v="3"/>
    <x v="0"/>
    <n v="2"/>
    <n v="3550"/>
    <n v="0"/>
    <n v="7100"/>
    <n v="4431.8100000000004"/>
    <n v="2668.19"/>
    <x v="2"/>
  </r>
  <r>
    <s v="ORD10371"/>
    <d v="2026-01-04T00:00:00"/>
    <x v="12"/>
    <x v="28"/>
    <x v="5"/>
    <x v="3"/>
    <x v="1"/>
    <n v="1"/>
    <n v="3540"/>
    <n v="0.2"/>
    <n v="2832"/>
    <n v="2176.84"/>
    <n v="655.16"/>
    <x v="1"/>
  </r>
  <r>
    <s v="ORD10464"/>
    <d v="2026-01-04T00:00:00"/>
    <x v="12"/>
    <x v="207"/>
    <x v="10"/>
    <x v="3"/>
    <x v="0"/>
    <n v="3"/>
    <n v="1830"/>
    <n v="0.1"/>
    <n v="4941"/>
    <n v="3124.45"/>
    <n v="1816.55"/>
    <x v="2"/>
  </r>
  <r>
    <s v="ORD10483"/>
    <d v="2026-01-04T00:00:00"/>
    <x v="12"/>
    <x v="208"/>
    <x v="10"/>
    <x v="3"/>
    <x v="1"/>
    <n v="1"/>
    <n v="1800"/>
    <n v="0"/>
    <n v="1800"/>
    <n v="1033.99"/>
    <n v="766.01"/>
    <x v="0"/>
  </r>
  <r>
    <s v="ORD10342"/>
    <d v="2026-01-05T00:00:00"/>
    <x v="12"/>
    <x v="209"/>
    <x v="2"/>
    <x v="2"/>
    <x v="0"/>
    <n v="4"/>
    <n v="1640"/>
    <n v="0"/>
    <n v="6560"/>
    <n v="3678.05"/>
    <n v="2881.95"/>
    <x v="0"/>
  </r>
  <r>
    <s v="ORD10112"/>
    <d v="2026-01-09T00:00:00"/>
    <x v="12"/>
    <x v="210"/>
    <x v="12"/>
    <x v="2"/>
    <x v="0"/>
    <n v="4"/>
    <n v="3050"/>
    <n v="0.1"/>
    <n v="10980"/>
    <n v="7200.91"/>
    <n v="3779.09"/>
    <x v="4"/>
  </r>
  <r>
    <s v="ORD10449"/>
    <d v="2026-01-09T00:00:00"/>
    <x v="12"/>
    <x v="73"/>
    <x v="12"/>
    <x v="2"/>
    <x v="1"/>
    <n v="1"/>
    <n v="3080"/>
    <n v="0.1"/>
    <n v="2772"/>
    <n v="1799.49"/>
    <n v="972.51"/>
    <x v="0"/>
  </r>
  <r>
    <s v="ORD10160"/>
    <d v="2026-01-10T00:00:00"/>
    <x v="12"/>
    <x v="211"/>
    <x v="14"/>
    <x v="0"/>
    <x v="1"/>
    <n v="3"/>
    <n v="1860"/>
    <n v="0"/>
    <n v="5580"/>
    <n v="3237.57"/>
    <n v="2342.4299999999998"/>
    <x v="0"/>
  </r>
  <r>
    <s v="ORD10411"/>
    <d v="2026-01-10T00:00:00"/>
    <x v="12"/>
    <x v="167"/>
    <x v="7"/>
    <x v="2"/>
    <x v="3"/>
    <n v="2"/>
    <n v="1500"/>
    <n v="0.05"/>
    <n v="2850"/>
    <n v="1716.52"/>
    <n v="1133.48"/>
    <x v="3"/>
  </r>
  <r>
    <s v="ORD10430"/>
    <d v="2026-01-11T00:00:00"/>
    <x v="12"/>
    <x v="126"/>
    <x v="15"/>
    <x v="0"/>
    <x v="1"/>
    <n v="1"/>
    <n v="2900"/>
    <n v="0.25"/>
    <n v="2175"/>
    <n v="1639.62"/>
    <n v="535.38"/>
    <x v="0"/>
  </r>
  <r>
    <s v="ORD10212"/>
    <d v="2026-01-12T00:00:00"/>
    <x v="12"/>
    <x v="212"/>
    <x v="12"/>
    <x v="2"/>
    <x v="0"/>
    <n v="3"/>
    <n v="3000"/>
    <n v="0.1"/>
    <n v="8100"/>
    <n v="5425.03"/>
    <n v="2674.97"/>
    <x v="1"/>
  </r>
  <r>
    <s v="ORD10260"/>
    <d v="2026-01-12T00:00:00"/>
    <x v="12"/>
    <x v="185"/>
    <x v="1"/>
    <x v="1"/>
    <x v="1"/>
    <n v="2"/>
    <n v="2500"/>
    <n v="0.15"/>
    <n v="4250"/>
    <n v="3161.2"/>
    <n v="1088.8"/>
    <x v="0"/>
  </r>
  <r>
    <s v="ORD10105"/>
    <d v="2026-01-13T00:00:00"/>
    <x v="12"/>
    <x v="213"/>
    <x v="12"/>
    <x v="2"/>
    <x v="0"/>
    <n v="1"/>
    <n v="2940"/>
    <n v="0.05"/>
    <n v="2793"/>
    <n v="1875.77"/>
    <n v="917.23"/>
    <x v="0"/>
  </r>
  <r>
    <s v="ORD10372"/>
    <d v="2026-01-13T00:00:00"/>
    <x v="12"/>
    <x v="208"/>
    <x v="13"/>
    <x v="0"/>
    <x v="1"/>
    <n v="3"/>
    <n v="2350"/>
    <n v="0"/>
    <n v="7050"/>
    <n v="3975.27"/>
    <n v="3074.73"/>
    <x v="1"/>
  </r>
  <r>
    <s v="ORD10414"/>
    <d v="2026-01-13T00:00:00"/>
    <x v="12"/>
    <x v="150"/>
    <x v="3"/>
    <x v="1"/>
    <x v="2"/>
    <n v="3"/>
    <n v="3990"/>
    <n v="0"/>
    <n v="11970"/>
    <n v="7327.62"/>
    <n v="4642.38"/>
    <x v="2"/>
  </r>
  <r>
    <s v="ORD10040"/>
    <d v="2026-01-15T00:00:00"/>
    <x v="12"/>
    <x v="123"/>
    <x v="2"/>
    <x v="2"/>
    <x v="1"/>
    <n v="3"/>
    <n v="1640"/>
    <n v="0.1"/>
    <n v="4428"/>
    <n v="2724.54"/>
    <n v="1703.46"/>
    <x v="2"/>
  </r>
  <r>
    <s v="ORD10283"/>
    <d v="2026-01-15T00:00:00"/>
    <x v="12"/>
    <x v="214"/>
    <x v="5"/>
    <x v="3"/>
    <x v="0"/>
    <n v="1"/>
    <n v="3440"/>
    <n v="0.1"/>
    <n v="3096"/>
    <n v="2164.67"/>
    <n v="931.33"/>
    <x v="0"/>
  </r>
  <r>
    <s v="ORD10361"/>
    <d v="2026-01-15T00:00:00"/>
    <x v="12"/>
    <x v="23"/>
    <x v="3"/>
    <x v="1"/>
    <x v="3"/>
    <n v="2"/>
    <n v="3990"/>
    <n v="0.15"/>
    <n v="6783"/>
    <n v="5112.25"/>
    <n v="1670.75"/>
    <x v="1"/>
  </r>
  <r>
    <s v="ORD10153"/>
    <d v="2026-01-16T00:00:00"/>
    <x v="12"/>
    <x v="74"/>
    <x v="9"/>
    <x v="1"/>
    <x v="2"/>
    <n v="1"/>
    <n v="1260"/>
    <n v="0.1"/>
    <n v="1134"/>
    <n v="755.03"/>
    <n v="378.97"/>
    <x v="3"/>
  </r>
  <r>
    <s v="ORD10425"/>
    <d v="2026-01-16T00:00:00"/>
    <x v="12"/>
    <x v="66"/>
    <x v="12"/>
    <x v="2"/>
    <x v="2"/>
    <n v="1"/>
    <n v="2980"/>
    <n v="0.05"/>
    <n v="2831"/>
    <n v="1869.52"/>
    <n v="961.48"/>
    <x v="0"/>
  </r>
  <r>
    <s v="ORD10499"/>
    <d v="2026-01-16T00:00:00"/>
    <x v="12"/>
    <x v="215"/>
    <x v="7"/>
    <x v="2"/>
    <x v="0"/>
    <n v="2"/>
    <n v="1530"/>
    <n v="0.1"/>
    <n v="2754"/>
    <n v="1744.14"/>
    <n v="1009.86"/>
    <x v="0"/>
  </r>
  <r>
    <s v="ORD10255"/>
    <d v="2026-01-17T00:00:00"/>
    <x v="12"/>
    <x v="216"/>
    <x v="11"/>
    <x v="3"/>
    <x v="1"/>
    <n v="1"/>
    <n v="3010"/>
    <n v="0.15"/>
    <n v="2558.5"/>
    <n v="1994.44"/>
    <n v="564.05999999999995"/>
    <x v="2"/>
  </r>
  <r>
    <s v="ORD10444"/>
    <d v="2026-01-19T00:00:00"/>
    <x v="12"/>
    <x v="217"/>
    <x v="4"/>
    <x v="1"/>
    <x v="0"/>
    <n v="2"/>
    <n v="2040"/>
    <n v="0.25"/>
    <n v="3060"/>
    <n v="2390.5500000000002"/>
    <n v="669.45"/>
    <x v="3"/>
  </r>
  <r>
    <s v="ORD10172"/>
    <d v="2026-01-20T00:00:00"/>
    <x v="12"/>
    <x v="218"/>
    <x v="5"/>
    <x v="3"/>
    <x v="2"/>
    <n v="1"/>
    <n v="3540"/>
    <n v="0"/>
    <n v="3540"/>
    <n v="2202"/>
    <n v="1338"/>
    <x v="3"/>
  </r>
  <r>
    <s v="ORD10271"/>
    <d v="2026-01-20T00:00:00"/>
    <x v="12"/>
    <x v="84"/>
    <x v="6"/>
    <x v="2"/>
    <x v="2"/>
    <n v="2"/>
    <n v="2000"/>
    <n v="0.1"/>
    <n v="3600"/>
    <n v="2286.4499999999998"/>
    <n v="1313.55"/>
    <x v="0"/>
  </r>
  <r>
    <s v="ORD10370"/>
    <d v="2026-01-21T00:00:00"/>
    <x v="12"/>
    <x v="86"/>
    <x v="4"/>
    <x v="1"/>
    <x v="2"/>
    <n v="2"/>
    <n v="1930"/>
    <n v="0.05"/>
    <n v="3667"/>
    <n v="2428.25"/>
    <n v="1238.75"/>
    <x v="2"/>
  </r>
  <r>
    <s v="ORD10006"/>
    <d v="2026-01-23T00:00:00"/>
    <x v="12"/>
    <x v="113"/>
    <x v="9"/>
    <x v="1"/>
    <x v="1"/>
    <n v="2"/>
    <n v="1350"/>
    <n v="0.05"/>
    <n v="2565"/>
    <n v="1545.09"/>
    <n v="1019.91"/>
    <x v="3"/>
  </r>
  <r>
    <s v="ORD10072"/>
    <d v="2026-01-29T00:00:00"/>
    <x v="12"/>
    <x v="93"/>
    <x v="7"/>
    <x v="2"/>
    <x v="0"/>
    <n v="1"/>
    <n v="1510"/>
    <n v="0.1"/>
    <n v="1359"/>
    <n v="862.52"/>
    <n v="496.48"/>
    <x v="3"/>
  </r>
  <r>
    <s v="ORD10141"/>
    <d v="2026-01-30T00:00:00"/>
    <x v="12"/>
    <x v="219"/>
    <x v="7"/>
    <x v="2"/>
    <x v="3"/>
    <n v="2"/>
    <n v="1490"/>
    <n v="0.15"/>
    <n v="2533"/>
    <n v="1748.42"/>
    <n v="784.58"/>
    <x v="0"/>
  </r>
  <r>
    <s v="ORD10045"/>
    <d v="2026-01-31T00:00:00"/>
    <x v="12"/>
    <x v="220"/>
    <x v="9"/>
    <x v="1"/>
    <x v="3"/>
    <n v="1"/>
    <n v="1320"/>
    <n v="0.2"/>
    <n v="1056"/>
    <n v="759.2"/>
    <n v="296.8"/>
    <x v="2"/>
  </r>
  <r>
    <s v="ORD10046"/>
    <d v="2026-01-31T00:00:00"/>
    <x v="12"/>
    <x v="221"/>
    <x v="11"/>
    <x v="3"/>
    <x v="1"/>
    <n v="3"/>
    <n v="3070"/>
    <n v="0.15"/>
    <n v="7828.5"/>
    <n v="5706.51"/>
    <n v="2121.9899999999998"/>
    <x v="1"/>
  </r>
  <r>
    <s v="ORD10455"/>
    <d v="2026-01-31T00:00:00"/>
    <x v="12"/>
    <x v="204"/>
    <x v="2"/>
    <x v="2"/>
    <x v="1"/>
    <n v="2"/>
    <n v="1550"/>
    <n v="0.05"/>
    <n v="2945"/>
    <n v="1756.2"/>
    <n v="1188.8"/>
    <x v="1"/>
  </r>
  <r>
    <s v="ORD10439"/>
    <d v="2026-02-04T00:00:00"/>
    <x v="13"/>
    <x v="180"/>
    <x v="10"/>
    <x v="3"/>
    <x v="1"/>
    <n v="3"/>
    <n v="1830"/>
    <n v="0.15"/>
    <n v="4666.5"/>
    <n v="3147.05"/>
    <n v="1519.45"/>
    <x v="1"/>
  </r>
  <r>
    <s v="ORD10064"/>
    <d v="2026-02-05T00:00:00"/>
    <x v="13"/>
    <x v="222"/>
    <x v="9"/>
    <x v="1"/>
    <x v="2"/>
    <n v="2"/>
    <n v="1300"/>
    <n v="0.25"/>
    <n v="1950"/>
    <n v="1504.38"/>
    <n v="445.62"/>
    <x v="0"/>
  </r>
  <r>
    <s v="ORD10133"/>
    <d v="2026-02-05T00:00:00"/>
    <x v="13"/>
    <x v="99"/>
    <x v="9"/>
    <x v="1"/>
    <x v="2"/>
    <n v="2"/>
    <n v="1340"/>
    <n v="0"/>
    <n v="2680"/>
    <n v="1563.18"/>
    <n v="1116.82"/>
    <x v="0"/>
  </r>
  <r>
    <s v="ORD10338"/>
    <d v="2026-02-07T00:00:00"/>
    <x v="13"/>
    <x v="89"/>
    <x v="9"/>
    <x v="1"/>
    <x v="0"/>
    <n v="1"/>
    <n v="1350"/>
    <n v="0"/>
    <n v="1350"/>
    <n v="748.64"/>
    <n v="601.36"/>
    <x v="1"/>
  </r>
  <r>
    <s v="ORD10398"/>
    <d v="2026-02-10T00:00:00"/>
    <x v="13"/>
    <x v="223"/>
    <x v="3"/>
    <x v="1"/>
    <x v="2"/>
    <n v="2"/>
    <n v="4090"/>
    <n v="0.05"/>
    <n v="7771"/>
    <n v="4925.84"/>
    <n v="2845.16"/>
    <x v="3"/>
  </r>
  <r>
    <s v="ORD10208"/>
    <d v="2026-02-11T00:00:00"/>
    <x v="13"/>
    <x v="102"/>
    <x v="0"/>
    <x v="0"/>
    <x v="3"/>
    <n v="2"/>
    <n v="3500"/>
    <n v="0.1"/>
    <n v="6300"/>
    <n v="4148.9799999999996"/>
    <n v="2151.02"/>
    <x v="1"/>
  </r>
  <r>
    <s v="ORD10406"/>
    <d v="2026-02-11T00:00:00"/>
    <x v="13"/>
    <x v="32"/>
    <x v="14"/>
    <x v="0"/>
    <x v="3"/>
    <n v="1"/>
    <n v="1890"/>
    <n v="0.15"/>
    <n v="1606.5"/>
    <n v="1024.02"/>
    <n v="582.48"/>
    <x v="0"/>
  </r>
  <r>
    <s v="ORD10200"/>
    <d v="2026-02-12T00:00:00"/>
    <x v="13"/>
    <x v="201"/>
    <x v="6"/>
    <x v="2"/>
    <x v="1"/>
    <n v="2"/>
    <n v="1990"/>
    <n v="0.1"/>
    <n v="3582"/>
    <n v="2367.84"/>
    <n v="1214.1600000000001"/>
    <x v="0"/>
  </r>
  <r>
    <s v="ORD10132"/>
    <d v="2026-02-16T00:00:00"/>
    <x v="13"/>
    <x v="78"/>
    <x v="5"/>
    <x v="3"/>
    <x v="0"/>
    <n v="1"/>
    <n v="3550"/>
    <n v="0.2"/>
    <n v="2840"/>
    <n v="2142.9499999999998"/>
    <n v="697.05"/>
    <x v="2"/>
  </r>
  <r>
    <s v="ORD10304"/>
    <d v="2026-02-16T00:00:00"/>
    <x v="13"/>
    <x v="224"/>
    <x v="10"/>
    <x v="3"/>
    <x v="0"/>
    <n v="4"/>
    <n v="1830"/>
    <n v="0.05"/>
    <n v="6954"/>
    <n v="4209.78"/>
    <n v="2744.22"/>
    <x v="2"/>
  </r>
  <r>
    <s v="ORD10362"/>
    <d v="2026-02-17T00:00:00"/>
    <x v="13"/>
    <x v="186"/>
    <x v="2"/>
    <x v="2"/>
    <x v="1"/>
    <n v="4"/>
    <n v="1540"/>
    <n v="0.1"/>
    <n v="5544"/>
    <n v="3575.77"/>
    <n v="1968.23"/>
    <x v="2"/>
  </r>
  <r>
    <s v="ORD10117"/>
    <d v="2026-02-18T00:00:00"/>
    <x v="13"/>
    <x v="33"/>
    <x v="5"/>
    <x v="3"/>
    <x v="1"/>
    <n v="1"/>
    <n v="3380"/>
    <n v="0.2"/>
    <n v="2704"/>
    <n v="2135.25"/>
    <n v="568.75"/>
    <x v="0"/>
  </r>
  <r>
    <s v="ORD10205"/>
    <d v="2026-02-18T00:00:00"/>
    <x v="13"/>
    <x v="225"/>
    <x v="2"/>
    <x v="2"/>
    <x v="3"/>
    <n v="2"/>
    <n v="1660"/>
    <n v="0"/>
    <n v="3320"/>
    <n v="1818.52"/>
    <n v="1501.48"/>
    <x v="1"/>
  </r>
  <r>
    <s v="ORD10354"/>
    <d v="2026-02-18T00:00:00"/>
    <x v="13"/>
    <x v="125"/>
    <x v="0"/>
    <x v="0"/>
    <x v="2"/>
    <n v="1"/>
    <n v="3410"/>
    <n v="0.1"/>
    <n v="3069"/>
    <n v="2124.44"/>
    <n v="944.56"/>
    <x v="1"/>
  </r>
  <r>
    <s v="ORD10422"/>
    <d v="2026-02-19T00:00:00"/>
    <x v="13"/>
    <x v="210"/>
    <x v="12"/>
    <x v="2"/>
    <x v="1"/>
    <n v="1"/>
    <n v="3040"/>
    <n v="0.2"/>
    <n v="2432"/>
    <n v="1853.5"/>
    <n v="578.5"/>
    <x v="2"/>
  </r>
  <r>
    <s v="ORD10018"/>
    <d v="2026-02-20T00:00:00"/>
    <x v="13"/>
    <x v="213"/>
    <x v="9"/>
    <x v="1"/>
    <x v="2"/>
    <n v="1"/>
    <n v="1330"/>
    <n v="0.05"/>
    <n v="1263.5"/>
    <n v="758.65"/>
    <n v="504.85"/>
    <x v="0"/>
  </r>
  <r>
    <s v="ORD10265"/>
    <d v="2026-02-23T00:00:00"/>
    <x v="13"/>
    <x v="106"/>
    <x v="5"/>
    <x v="3"/>
    <x v="2"/>
    <n v="1"/>
    <n v="3550"/>
    <n v="0.05"/>
    <n v="3372.5"/>
    <n v="2213.96"/>
    <n v="1158.54"/>
    <x v="0"/>
  </r>
  <r>
    <s v="ORD10023"/>
    <d v="2026-02-24T00:00:00"/>
    <x v="13"/>
    <x v="226"/>
    <x v="9"/>
    <x v="1"/>
    <x v="3"/>
    <n v="1"/>
    <n v="1320"/>
    <n v="0"/>
    <n v="1320"/>
    <n v="737.43"/>
    <n v="582.57000000000005"/>
    <x v="3"/>
  </r>
  <r>
    <s v="ORD10348"/>
    <d v="2026-02-24T00:00:00"/>
    <x v="13"/>
    <x v="227"/>
    <x v="9"/>
    <x v="1"/>
    <x v="2"/>
    <n v="3"/>
    <n v="1300"/>
    <n v="0.1"/>
    <n v="3510"/>
    <n v="2319"/>
    <n v="1191"/>
    <x v="0"/>
  </r>
  <r>
    <s v="ORD10299"/>
    <d v="2026-02-25T00:00:00"/>
    <x v="13"/>
    <x v="61"/>
    <x v="8"/>
    <x v="3"/>
    <x v="1"/>
    <n v="1"/>
    <n v="5510"/>
    <n v="0.15"/>
    <n v="4683.5"/>
    <n v="3567.19"/>
    <n v="1116.31"/>
    <x v="0"/>
  </r>
  <r>
    <s v="ORD10129"/>
    <d v="2026-02-26T00:00:00"/>
    <x v="13"/>
    <x v="133"/>
    <x v="4"/>
    <x v="1"/>
    <x v="1"/>
    <n v="5"/>
    <n v="2060"/>
    <n v="0.1"/>
    <n v="9270"/>
    <n v="5821.85"/>
    <n v="3448.15"/>
    <x v="2"/>
  </r>
  <r>
    <s v="ORD10420"/>
    <d v="2026-03-02T00:00:00"/>
    <x v="14"/>
    <x v="181"/>
    <x v="3"/>
    <x v="1"/>
    <x v="0"/>
    <n v="2"/>
    <n v="3960"/>
    <n v="0.05"/>
    <n v="7524"/>
    <n v="5091.71"/>
    <n v="2432.29"/>
    <x v="2"/>
  </r>
  <r>
    <s v="ORD10484"/>
    <d v="2026-03-03T00:00:00"/>
    <x v="14"/>
    <x v="228"/>
    <x v="0"/>
    <x v="0"/>
    <x v="1"/>
    <n v="1"/>
    <n v="3550"/>
    <n v="0.05"/>
    <n v="3372.5"/>
    <n v="2058.4"/>
    <n v="1314.1"/>
    <x v="2"/>
  </r>
  <r>
    <s v="ORD10395"/>
    <d v="2026-03-04T00:00:00"/>
    <x v="14"/>
    <x v="96"/>
    <x v="7"/>
    <x v="2"/>
    <x v="0"/>
    <n v="1"/>
    <n v="1450"/>
    <n v="0.15"/>
    <n v="1232.5"/>
    <n v="860.13"/>
    <n v="372.37"/>
    <x v="1"/>
  </r>
  <r>
    <s v="ORD10488"/>
    <d v="2026-03-04T00:00:00"/>
    <x v="14"/>
    <x v="95"/>
    <x v="13"/>
    <x v="0"/>
    <x v="2"/>
    <n v="3"/>
    <n v="2210"/>
    <n v="0.1"/>
    <n v="5967"/>
    <n v="3828.58"/>
    <n v="2138.42"/>
    <x v="1"/>
  </r>
  <r>
    <s v="ORD10135"/>
    <d v="2026-03-06T00:00:00"/>
    <x v="14"/>
    <x v="229"/>
    <x v="3"/>
    <x v="1"/>
    <x v="2"/>
    <n v="1"/>
    <n v="4010"/>
    <n v="0.15"/>
    <n v="3408.5"/>
    <n v="2548.89"/>
    <n v="859.61"/>
    <x v="4"/>
  </r>
  <r>
    <s v="ORD10175"/>
    <d v="2026-03-08T00:00:00"/>
    <x v="14"/>
    <x v="25"/>
    <x v="2"/>
    <x v="2"/>
    <x v="1"/>
    <n v="1"/>
    <n v="1570"/>
    <n v="0.1"/>
    <n v="1413"/>
    <n v="907.13"/>
    <n v="505.87"/>
    <x v="0"/>
  </r>
  <r>
    <s v="ORD10248"/>
    <d v="2026-03-08T00:00:00"/>
    <x v="14"/>
    <x v="8"/>
    <x v="1"/>
    <x v="1"/>
    <x v="1"/>
    <n v="5"/>
    <n v="2500"/>
    <n v="0.15"/>
    <n v="10625"/>
    <n v="7547.09"/>
    <n v="3077.91"/>
    <x v="3"/>
  </r>
  <r>
    <s v="ORD10479"/>
    <d v="2026-03-09T00:00:00"/>
    <x v="14"/>
    <x v="59"/>
    <x v="4"/>
    <x v="1"/>
    <x v="2"/>
    <n v="1"/>
    <n v="2040"/>
    <n v="0.1"/>
    <n v="1836"/>
    <n v="1201.68"/>
    <n v="634.32000000000005"/>
    <x v="0"/>
  </r>
  <r>
    <s v="ORD10344"/>
    <d v="2026-03-12T00:00:00"/>
    <x v="14"/>
    <x v="230"/>
    <x v="14"/>
    <x v="0"/>
    <x v="1"/>
    <n v="1"/>
    <n v="1860"/>
    <n v="0.05"/>
    <n v="1767"/>
    <n v="1022.44"/>
    <n v="744.56"/>
    <x v="0"/>
  </r>
  <r>
    <s v="ORD10059"/>
    <d v="2026-03-13T00:00:00"/>
    <x v="14"/>
    <x v="199"/>
    <x v="15"/>
    <x v="0"/>
    <x v="2"/>
    <n v="3"/>
    <n v="2740"/>
    <n v="0.05"/>
    <n v="7809"/>
    <n v="4862.3999999999996"/>
    <n v="2946.6"/>
    <x v="1"/>
  </r>
  <r>
    <s v="ORD10378"/>
    <d v="2026-03-18T00:00:00"/>
    <x v="14"/>
    <x v="102"/>
    <x v="0"/>
    <x v="0"/>
    <x v="2"/>
    <n v="3"/>
    <n v="3520"/>
    <n v="0.1"/>
    <n v="9504"/>
    <n v="6485.48"/>
    <n v="3018.52"/>
    <x v="1"/>
  </r>
  <r>
    <s v="ORD10098"/>
    <d v="2026-03-19T00:00:00"/>
    <x v="14"/>
    <x v="231"/>
    <x v="4"/>
    <x v="1"/>
    <x v="2"/>
    <n v="1"/>
    <n v="2060"/>
    <n v="0.1"/>
    <n v="1854"/>
    <n v="1204.08"/>
    <n v="649.91999999999996"/>
    <x v="3"/>
  </r>
  <r>
    <s v="ORD10060"/>
    <d v="2026-03-22T00:00:00"/>
    <x v="14"/>
    <x v="23"/>
    <x v="13"/>
    <x v="0"/>
    <x v="3"/>
    <n v="1"/>
    <n v="2210"/>
    <n v="0.05"/>
    <n v="2099.5"/>
    <n v="1299.8599999999999"/>
    <n v="799.64"/>
    <x v="1"/>
  </r>
  <r>
    <s v="ORD10410"/>
    <d v="2026-03-23T00:00:00"/>
    <x v="14"/>
    <x v="85"/>
    <x v="13"/>
    <x v="0"/>
    <x v="3"/>
    <n v="2"/>
    <n v="2240"/>
    <n v="0.05"/>
    <n v="4256"/>
    <n v="2559.44"/>
    <n v="1696.56"/>
    <x v="2"/>
  </r>
  <r>
    <s v="ORD10435"/>
    <d v="2026-03-24T00:00:00"/>
    <x v="14"/>
    <x v="49"/>
    <x v="8"/>
    <x v="3"/>
    <x v="1"/>
    <n v="1"/>
    <n v="5370"/>
    <n v="0.2"/>
    <n v="4296"/>
    <n v="3582.72"/>
    <n v="713.28"/>
    <x v="0"/>
  </r>
  <r>
    <s v="ORD10184"/>
    <d v="2026-03-25T00:00:00"/>
    <x v="14"/>
    <x v="232"/>
    <x v="8"/>
    <x v="3"/>
    <x v="1"/>
    <n v="2"/>
    <n v="5510"/>
    <n v="0.1"/>
    <n v="9918"/>
    <n v="7381.18"/>
    <n v="2536.8200000000002"/>
    <x v="3"/>
  </r>
  <r>
    <s v="ORD10253"/>
    <d v="2026-03-25T00:00:00"/>
    <x v="14"/>
    <x v="233"/>
    <x v="3"/>
    <x v="1"/>
    <x v="2"/>
    <n v="2"/>
    <n v="3980"/>
    <n v="0.1"/>
    <n v="7164"/>
    <n v="4992.29"/>
    <n v="2171.71"/>
    <x v="3"/>
  </r>
  <r>
    <s v="ORD10310"/>
    <d v="2026-03-26T00:00:00"/>
    <x v="14"/>
    <x v="109"/>
    <x v="13"/>
    <x v="0"/>
    <x v="3"/>
    <n v="3"/>
    <n v="2260"/>
    <n v="0.15"/>
    <n v="5763"/>
    <n v="3837.3"/>
    <n v="1925.7"/>
    <x v="3"/>
  </r>
  <r>
    <s v="ORD10263"/>
    <d v="2026-03-27T00:00:00"/>
    <x v="14"/>
    <x v="141"/>
    <x v="7"/>
    <x v="2"/>
    <x v="2"/>
    <n v="3"/>
    <n v="1550"/>
    <n v="0"/>
    <n v="4650"/>
    <n v="2475.38"/>
    <n v="2174.62"/>
    <x v="3"/>
  </r>
  <r>
    <s v="ORD10137"/>
    <d v="2026-03-29T00:00:00"/>
    <x v="14"/>
    <x v="27"/>
    <x v="8"/>
    <x v="3"/>
    <x v="3"/>
    <n v="4"/>
    <n v="5370"/>
    <n v="0.05"/>
    <n v="20406"/>
    <n v="13994.9"/>
    <n v="6411.1"/>
    <x v="3"/>
  </r>
  <r>
    <s v="ORD10106"/>
    <d v="2026-03-31T00:00:00"/>
    <x v="14"/>
    <x v="24"/>
    <x v="12"/>
    <x v="2"/>
    <x v="2"/>
    <n v="1"/>
    <n v="2980"/>
    <n v="0.15"/>
    <n v="2533"/>
    <n v="1833.78"/>
    <n v="699.22"/>
    <x v="2"/>
  </r>
  <r>
    <s v="ORD10251"/>
    <d v="2026-03-31T00:00:00"/>
    <x v="14"/>
    <x v="38"/>
    <x v="6"/>
    <x v="2"/>
    <x v="1"/>
    <n v="3"/>
    <n v="1960"/>
    <n v="0.25"/>
    <n v="4410"/>
    <n v="3402.71"/>
    <n v="1007.29"/>
    <x v="0"/>
  </r>
  <r>
    <s v="ORD10376"/>
    <d v="2026-04-03T00:00:00"/>
    <x v="15"/>
    <x v="96"/>
    <x v="12"/>
    <x v="2"/>
    <x v="1"/>
    <n v="2"/>
    <n v="2960"/>
    <n v="0.05"/>
    <n v="5624"/>
    <n v="3802.38"/>
    <n v="1821.62"/>
    <x v="3"/>
  </r>
  <r>
    <s v="ORD10428"/>
    <d v="2026-04-03T00:00:00"/>
    <x v="15"/>
    <x v="108"/>
    <x v="6"/>
    <x v="2"/>
    <x v="1"/>
    <n v="3"/>
    <n v="1990"/>
    <n v="0.1"/>
    <n v="5373"/>
    <n v="3531.47"/>
    <n v="1841.53"/>
    <x v="0"/>
  </r>
  <r>
    <s v="ORD10183"/>
    <d v="2026-04-05T00:00:00"/>
    <x v="15"/>
    <x v="148"/>
    <x v="13"/>
    <x v="0"/>
    <x v="0"/>
    <n v="1"/>
    <n v="2260"/>
    <n v="0.05"/>
    <n v="2147"/>
    <n v="1289.0899999999999"/>
    <n v="857.91"/>
    <x v="1"/>
  </r>
  <r>
    <s v="ORD10242"/>
    <d v="2026-04-05T00:00:00"/>
    <x v="15"/>
    <x v="78"/>
    <x v="7"/>
    <x v="2"/>
    <x v="1"/>
    <n v="1"/>
    <n v="1520"/>
    <n v="0.2"/>
    <n v="1216"/>
    <n v="869.09"/>
    <n v="346.91"/>
    <x v="2"/>
  </r>
  <r>
    <s v="ORD10058"/>
    <d v="2026-04-06T00:00:00"/>
    <x v="15"/>
    <x v="42"/>
    <x v="0"/>
    <x v="0"/>
    <x v="1"/>
    <n v="1"/>
    <n v="3380"/>
    <n v="0"/>
    <n v="3380"/>
    <n v="2124.16"/>
    <n v="1255.8399999999999"/>
    <x v="0"/>
  </r>
  <r>
    <s v="ORD10191"/>
    <d v="2026-04-08T00:00:00"/>
    <x v="15"/>
    <x v="75"/>
    <x v="9"/>
    <x v="1"/>
    <x v="3"/>
    <n v="1"/>
    <n v="1280"/>
    <n v="0"/>
    <n v="1280"/>
    <n v="741.81"/>
    <n v="538.19000000000005"/>
    <x v="0"/>
  </r>
  <r>
    <s v="ORD10492"/>
    <d v="2026-04-08T00:00:00"/>
    <x v="15"/>
    <x v="184"/>
    <x v="15"/>
    <x v="0"/>
    <x v="1"/>
    <n v="2"/>
    <n v="2730"/>
    <n v="0.1"/>
    <n v="4914"/>
    <n v="3347.97"/>
    <n v="1566.03"/>
    <x v="3"/>
  </r>
  <r>
    <s v="ORD10246"/>
    <d v="2026-04-10T00:00:00"/>
    <x v="15"/>
    <x v="132"/>
    <x v="12"/>
    <x v="2"/>
    <x v="1"/>
    <n v="2"/>
    <n v="3020"/>
    <n v="0.05"/>
    <n v="5738"/>
    <n v="3654.99"/>
    <n v="2083.0100000000002"/>
    <x v="0"/>
  </r>
  <r>
    <s v="ORD10403"/>
    <d v="2026-04-12T00:00:00"/>
    <x v="15"/>
    <x v="141"/>
    <x v="4"/>
    <x v="1"/>
    <x v="0"/>
    <n v="2"/>
    <n v="1930"/>
    <n v="0.1"/>
    <n v="3474"/>
    <n v="2333.0300000000002"/>
    <n v="1140.97"/>
    <x v="2"/>
  </r>
  <r>
    <s v="ORD10025"/>
    <d v="2026-04-15T00:00:00"/>
    <x v="15"/>
    <x v="234"/>
    <x v="7"/>
    <x v="2"/>
    <x v="1"/>
    <n v="5"/>
    <n v="1550"/>
    <n v="0.1"/>
    <n v="6975"/>
    <n v="4283.4399999999996"/>
    <n v="2691.56"/>
    <x v="0"/>
  </r>
  <r>
    <s v="ORD10369"/>
    <d v="2026-04-15T00:00:00"/>
    <x v="15"/>
    <x v="141"/>
    <x v="13"/>
    <x v="0"/>
    <x v="0"/>
    <n v="1"/>
    <n v="2280"/>
    <n v="0.15"/>
    <n v="1938"/>
    <n v="1306.9000000000001"/>
    <n v="631.1"/>
    <x v="0"/>
  </r>
  <r>
    <s v="ORD10180"/>
    <d v="2026-04-16T00:00:00"/>
    <x v="15"/>
    <x v="235"/>
    <x v="2"/>
    <x v="2"/>
    <x v="2"/>
    <n v="2"/>
    <n v="1560"/>
    <n v="0.2"/>
    <n v="2496"/>
    <n v="1820.52"/>
    <n v="675.48"/>
    <x v="0"/>
  </r>
  <r>
    <s v="ORD10009"/>
    <d v="2026-04-17T00:00:00"/>
    <x v="15"/>
    <x v="73"/>
    <x v="10"/>
    <x v="3"/>
    <x v="1"/>
    <n v="2"/>
    <n v="1810"/>
    <n v="0.15"/>
    <n v="3077"/>
    <n v="2153.71"/>
    <n v="923.29"/>
    <x v="0"/>
  </r>
  <r>
    <s v="ORD10016"/>
    <d v="2026-04-17T00:00:00"/>
    <x v="15"/>
    <x v="145"/>
    <x v="10"/>
    <x v="3"/>
    <x v="0"/>
    <n v="5"/>
    <n v="1760"/>
    <n v="0.2"/>
    <n v="7040"/>
    <n v="5249.13"/>
    <n v="1790.87"/>
    <x v="0"/>
  </r>
  <r>
    <s v="ORD10336"/>
    <d v="2026-04-19T00:00:00"/>
    <x v="15"/>
    <x v="54"/>
    <x v="2"/>
    <x v="2"/>
    <x v="2"/>
    <n v="2"/>
    <n v="1610"/>
    <n v="0"/>
    <n v="3220"/>
    <n v="1801.81"/>
    <n v="1418.19"/>
    <x v="0"/>
  </r>
  <r>
    <s v="ORD10437"/>
    <d v="2026-04-19T00:00:00"/>
    <x v="15"/>
    <x v="41"/>
    <x v="2"/>
    <x v="2"/>
    <x v="1"/>
    <n v="1"/>
    <n v="1580"/>
    <n v="0.2"/>
    <n v="1264"/>
    <n v="902.69"/>
    <n v="361.31"/>
    <x v="1"/>
  </r>
  <r>
    <s v="ORD10450"/>
    <d v="2026-04-19T00:00:00"/>
    <x v="15"/>
    <x v="106"/>
    <x v="14"/>
    <x v="0"/>
    <x v="2"/>
    <n v="1"/>
    <n v="1920"/>
    <n v="0"/>
    <n v="1920"/>
    <n v="1069.33"/>
    <n v="850.67"/>
    <x v="3"/>
  </r>
  <r>
    <s v="ORD10092"/>
    <d v="2026-04-20T00:00:00"/>
    <x v="15"/>
    <x v="236"/>
    <x v="5"/>
    <x v="3"/>
    <x v="0"/>
    <n v="1"/>
    <n v="3400"/>
    <n v="0.1"/>
    <n v="3060"/>
    <n v="2157.2800000000002"/>
    <n v="902.72"/>
    <x v="3"/>
  </r>
  <r>
    <s v="ORD10217"/>
    <d v="2026-04-21T00:00:00"/>
    <x v="15"/>
    <x v="39"/>
    <x v="8"/>
    <x v="3"/>
    <x v="0"/>
    <n v="4"/>
    <n v="5460"/>
    <n v="0.1"/>
    <n v="19656"/>
    <n v="14517.66"/>
    <n v="5138.34"/>
    <x v="4"/>
  </r>
  <r>
    <s v="ORD10027"/>
    <d v="2026-04-22T00:00:00"/>
    <x v="15"/>
    <x v="134"/>
    <x v="15"/>
    <x v="0"/>
    <x v="1"/>
    <n v="3"/>
    <n v="2760"/>
    <n v="0.2"/>
    <n v="6624"/>
    <n v="4965.67"/>
    <n v="1658.33"/>
    <x v="2"/>
  </r>
  <r>
    <s v="ORD10030"/>
    <d v="2026-04-22T00:00:00"/>
    <x v="15"/>
    <x v="81"/>
    <x v="6"/>
    <x v="2"/>
    <x v="1"/>
    <n v="1"/>
    <n v="1930"/>
    <n v="0.1"/>
    <n v="1737"/>
    <n v="1115.8599999999999"/>
    <n v="621.14"/>
    <x v="3"/>
  </r>
  <r>
    <s v="ORD10466"/>
    <d v="2026-04-25T00:00:00"/>
    <x v="15"/>
    <x v="74"/>
    <x v="6"/>
    <x v="2"/>
    <x v="0"/>
    <n v="1"/>
    <n v="1960"/>
    <n v="0.2"/>
    <n v="1568"/>
    <n v="1123.81"/>
    <n v="444.19"/>
    <x v="3"/>
  </r>
  <r>
    <s v="ORD10188"/>
    <d v="2026-04-28T00:00:00"/>
    <x v="15"/>
    <x v="11"/>
    <x v="4"/>
    <x v="1"/>
    <x v="2"/>
    <n v="1"/>
    <n v="1920"/>
    <n v="0"/>
    <n v="1920"/>
    <n v="1173.73"/>
    <n v="746.27"/>
    <x v="0"/>
  </r>
  <r>
    <s v="ORD10071"/>
    <d v="2026-04-30T00:00:00"/>
    <x v="15"/>
    <x v="203"/>
    <x v="4"/>
    <x v="1"/>
    <x v="1"/>
    <n v="3"/>
    <n v="2000"/>
    <n v="0"/>
    <n v="6000"/>
    <n v="3542.37"/>
    <n v="2457.63"/>
    <x v="3"/>
  </r>
  <r>
    <s v="ORD10234"/>
    <d v="2026-05-01T00:00:00"/>
    <x v="16"/>
    <x v="237"/>
    <x v="9"/>
    <x v="1"/>
    <x v="1"/>
    <n v="1"/>
    <n v="1320"/>
    <n v="0.2"/>
    <n v="1056"/>
    <n v="744.14"/>
    <n v="311.86"/>
    <x v="0"/>
  </r>
  <r>
    <s v="ORD10266"/>
    <d v="2026-05-01T00:00:00"/>
    <x v="16"/>
    <x v="229"/>
    <x v="9"/>
    <x v="1"/>
    <x v="2"/>
    <n v="1"/>
    <n v="1250"/>
    <n v="0.1"/>
    <n v="1125"/>
    <n v="760.25"/>
    <n v="364.75"/>
    <x v="1"/>
  </r>
  <r>
    <s v="ORD10392"/>
    <d v="2026-05-01T00:00:00"/>
    <x v="16"/>
    <x v="200"/>
    <x v="9"/>
    <x v="1"/>
    <x v="0"/>
    <n v="1"/>
    <n v="1270"/>
    <n v="0"/>
    <n v="1270"/>
    <n v="777.12"/>
    <n v="492.88"/>
    <x v="0"/>
  </r>
  <r>
    <s v="ORD10486"/>
    <d v="2026-05-02T00:00:00"/>
    <x v="16"/>
    <x v="238"/>
    <x v="7"/>
    <x v="2"/>
    <x v="2"/>
    <n v="1"/>
    <n v="1530"/>
    <n v="0"/>
    <n v="1530"/>
    <n v="859.05"/>
    <n v="670.95"/>
    <x v="0"/>
  </r>
  <r>
    <s v="ORD10396"/>
    <d v="2026-05-03T00:00:00"/>
    <x v="16"/>
    <x v="134"/>
    <x v="2"/>
    <x v="2"/>
    <x v="1"/>
    <n v="1"/>
    <n v="1610"/>
    <n v="0.1"/>
    <n v="1449"/>
    <n v="899.44"/>
    <n v="549.55999999999995"/>
    <x v="4"/>
  </r>
  <r>
    <s v="ORD10226"/>
    <d v="2026-05-05T00:00:00"/>
    <x v="16"/>
    <x v="123"/>
    <x v="9"/>
    <x v="1"/>
    <x v="1"/>
    <n v="2"/>
    <n v="1270"/>
    <n v="0.25"/>
    <n v="1905"/>
    <n v="1511.24"/>
    <n v="393.76"/>
    <x v="1"/>
  </r>
  <r>
    <s v="ORD10393"/>
    <d v="2026-05-05T00:00:00"/>
    <x v="16"/>
    <x v="127"/>
    <x v="11"/>
    <x v="3"/>
    <x v="0"/>
    <n v="1"/>
    <n v="3050"/>
    <n v="0.1"/>
    <n v="2745"/>
    <n v="1958.69"/>
    <n v="786.31"/>
    <x v="0"/>
  </r>
  <r>
    <s v="ORD10256"/>
    <d v="2026-05-09T00:00:00"/>
    <x v="16"/>
    <x v="197"/>
    <x v="13"/>
    <x v="0"/>
    <x v="3"/>
    <n v="1"/>
    <n v="2280"/>
    <n v="0.1"/>
    <n v="2052"/>
    <n v="1293.06"/>
    <n v="758.94"/>
    <x v="0"/>
  </r>
  <r>
    <s v="ORD10429"/>
    <d v="2026-05-09T00:00:00"/>
    <x v="16"/>
    <x v="239"/>
    <x v="15"/>
    <x v="0"/>
    <x v="1"/>
    <n v="2"/>
    <n v="2740"/>
    <n v="0.1"/>
    <n v="4932"/>
    <n v="3309.4"/>
    <n v="1622.6"/>
    <x v="1"/>
  </r>
  <r>
    <s v="ORD10419"/>
    <d v="2026-05-10T00:00:00"/>
    <x v="16"/>
    <x v="119"/>
    <x v="4"/>
    <x v="1"/>
    <x v="1"/>
    <n v="1"/>
    <n v="1950"/>
    <n v="0.1"/>
    <n v="1755"/>
    <n v="1235.24"/>
    <n v="519.76"/>
    <x v="0"/>
  </r>
  <r>
    <s v="ORD10114"/>
    <d v="2026-05-13T00:00:00"/>
    <x v="16"/>
    <x v="156"/>
    <x v="9"/>
    <x v="1"/>
    <x v="2"/>
    <n v="3"/>
    <n v="1290"/>
    <n v="0"/>
    <n v="3870"/>
    <n v="2283.0700000000002"/>
    <n v="1586.93"/>
    <x v="1"/>
  </r>
  <r>
    <s v="ORD10356"/>
    <d v="2026-05-14T00:00:00"/>
    <x v="16"/>
    <x v="240"/>
    <x v="10"/>
    <x v="3"/>
    <x v="1"/>
    <n v="1"/>
    <n v="1800"/>
    <n v="0.05"/>
    <n v="1710"/>
    <n v="1056.79"/>
    <n v="653.21"/>
    <x v="0"/>
  </r>
  <r>
    <s v="ORD10102"/>
    <d v="2026-05-15T00:00:00"/>
    <x v="16"/>
    <x v="4"/>
    <x v="8"/>
    <x v="3"/>
    <x v="3"/>
    <n v="1"/>
    <n v="5710"/>
    <n v="0.1"/>
    <n v="5139"/>
    <n v="3593.75"/>
    <n v="1545.25"/>
    <x v="1"/>
  </r>
  <r>
    <s v="ORD10269"/>
    <d v="2026-05-15T00:00:00"/>
    <x v="16"/>
    <x v="241"/>
    <x v="4"/>
    <x v="1"/>
    <x v="1"/>
    <n v="3"/>
    <n v="2000"/>
    <n v="0.25"/>
    <n v="4500"/>
    <n v="3606.97"/>
    <n v="893.03"/>
    <x v="4"/>
  </r>
  <r>
    <s v="ORD10074"/>
    <d v="2026-05-18T00:00:00"/>
    <x v="16"/>
    <x v="49"/>
    <x v="3"/>
    <x v="1"/>
    <x v="2"/>
    <n v="1"/>
    <n v="3860"/>
    <n v="0.15"/>
    <n v="3281"/>
    <n v="2551.35"/>
    <n v="729.65"/>
    <x v="2"/>
  </r>
  <r>
    <s v="ORD10394"/>
    <d v="2026-05-18T00:00:00"/>
    <x v="16"/>
    <x v="242"/>
    <x v="11"/>
    <x v="3"/>
    <x v="3"/>
    <n v="4"/>
    <n v="2930"/>
    <n v="0.05"/>
    <n v="11134"/>
    <n v="7795.04"/>
    <n v="3338.96"/>
    <x v="4"/>
  </r>
  <r>
    <s v="ORD10346"/>
    <d v="2026-05-19T00:00:00"/>
    <x v="16"/>
    <x v="160"/>
    <x v="13"/>
    <x v="0"/>
    <x v="1"/>
    <n v="3"/>
    <n v="2300"/>
    <n v="0.15"/>
    <n v="5865"/>
    <n v="3799.02"/>
    <n v="2065.98"/>
    <x v="1"/>
  </r>
  <r>
    <s v="ORD10431"/>
    <d v="2026-05-19T00:00:00"/>
    <x v="16"/>
    <x v="72"/>
    <x v="9"/>
    <x v="1"/>
    <x v="0"/>
    <n v="1"/>
    <n v="1270"/>
    <n v="0.15"/>
    <n v="1079.5"/>
    <n v="782.36"/>
    <n v="297.14"/>
    <x v="4"/>
  </r>
  <r>
    <s v="ORD10004"/>
    <d v="2026-05-20T00:00:00"/>
    <x v="16"/>
    <x v="146"/>
    <x v="10"/>
    <x v="3"/>
    <x v="1"/>
    <n v="1"/>
    <n v="1860"/>
    <n v="0"/>
    <n v="1860"/>
    <n v="1079.33"/>
    <n v="780.67"/>
    <x v="3"/>
  </r>
  <r>
    <s v="ORD10262"/>
    <d v="2026-05-20T00:00:00"/>
    <x v="16"/>
    <x v="243"/>
    <x v="10"/>
    <x v="3"/>
    <x v="1"/>
    <n v="3"/>
    <n v="1740"/>
    <n v="0.1"/>
    <n v="4698"/>
    <n v="3158.04"/>
    <n v="1539.96"/>
    <x v="3"/>
  </r>
  <r>
    <s v="ORD10109"/>
    <d v="2026-05-22T00:00:00"/>
    <x v="16"/>
    <x v="94"/>
    <x v="13"/>
    <x v="0"/>
    <x v="2"/>
    <n v="3"/>
    <n v="2220"/>
    <n v="0"/>
    <n v="6660"/>
    <n v="3953.4"/>
    <n v="2706.6"/>
    <x v="0"/>
  </r>
  <r>
    <s v="ORD10377"/>
    <d v="2026-05-23T00:00:00"/>
    <x v="16"/>
    <x v="216"/>
    <x v="15"/>
    <x v="0"/>
    <x v="0"/>
    <n v="1"/>
    <n v="2830"/>
    <n v="0.15"/>
    <n v="2405.5"/>
    <n v="1675.97"/>
    <n v="729.53"/>
    <x v="0"/>
  </r>
  <r>
    <s v="ORD10458"/>
    <d v="2026-05-23T00:00:00"/>
    <x v="16"/>
    <x v="193"/>
    <x v="8"/>
    <x v="3"/>
    <x v="1"/>
    <n v="2"/>
    <n v="5310"/>
    <n v="0"/>
    <n v="10620"/>
    <n v="7342.44"/>
    <n v="3277.56"/>
    <x v="3"/>
  </r>
  <r>
    <s v="ORD10472"/>
    <d v="2026-05-23T00:00:00"/>
    <x v="16"/>
    <x v="109"/>
    <x v="9"/>
    <x v="1"/>
    <x v="3"/>
    <n v="3"/>
    <n v="1310"/>
    <n v="0.05"/>
    <n v="3733.5"/>
    <n v="2283.2399999999998"/>
    <n v="1450.26"/>
    <x v="3"/>
  </r>
  <r>
    <s v="ORD10019"/>
    <d v="2026-05-26T00:00:00"/>
    <x v="16"/>
    <x v="86"/>
    <x v="6"/>
    <x v="2"/>
    <x v="1"/>
    <n v="1"/>
    <n v="1930"/>
    <n v="0.05"/>
    <n v="1833.5"/>
    <n v="1156.27"/>
    <n v="677.23"/>
    <x v="2"/>
  </r>
  <r>
    <s v="ORD10049"/>
    <d v="2026-05-26T00:00:00"/>
    <x v="16"/>
    <x v="244"/>
    <x v="13"/>
    <x v="0"/>
    <x v="3"/>
    <n v="1"/>
    <n v="2300"/>
    <n v="0.15"/>
    <n v="1955"/>
    <n v="1290.48"/>
    <n v="664.52"/>
    <x v="3"/>
  </r>
  <r>
    <s v="ORD10402"/>
    <d v="2026-05-26T00:00:00"/>
    <x v="16"/>
    <x v="83"/>
    <x v="3"/>
    <x v="1"/>
    <x v="2"/>
    <n v="3"/>
    <n v="4100"/>
    <n v="0.1"/>
    <n v="11070"/>
    <n v="7351.82"/>
    <n v="3718.18"/>
    <x v="4"/>
  </r>
  <r>
    <s v="ORD10031"/>
    <d v="2026-05-27T00:00:00"/>
    <x v="16"/>
    <x v="241"/>
    <x v="12"/>
    <x v="2"/>
    <x v="2"/>
    <n v="4"/>
    <n v="3020"/>
    <n v="0"/>
    <n v="12080"/>
    <n v="7372.68"/>
    <n v="4707.32"/>
    <x v="0"/>
  </r>
  <r>
    <s v="ORD10067"/>
    <d v="2026-05-28T00:00:00"/>
    <x v="16"/>
    <x v="167"/>
    <x v="1"/>
    <x v="1"/>
    <x v="2"/>
    <n v="4"/>
    <n v="2470"/>
    <n v="0"/>
    <n v="9880"/>
    <n v="6133.63"/>
    <n v="3746.37"/>
    <x v="0"/>
  </r>
  <r>
    <s v="ORD10470"/>
    <d v="2026-05-28T00:00:00"/>
    <x v="16"/>
    <x v="245"/>
    <x v="10"/>
    <x v="3"/>
    <x v="1"/>
    <n v="1"/>
    <n v="1830"/>
    <n v="0.1"/>
    <n v="1647"/>
    <n v="1032.04"/>
    <n v="614.96"/>
    <x v="1"/>
  </r>
  <r>
    <s v="ORD10116"/>
    <d v="2026-05-31T00:00:00"/>
    <x v="16"/>
    <x v="235"/>
    <x v="8"/>
    <x v="3"/>
    <x v="0"/>
    <n v="2"/>
    <n v="5550"/>
    <n v="0.2"/>
    <n v="8880"/>
    <n v="7084.64"/>
    <n v="1795.36"/>
    <x v="0"/>
  </r>
  <r>
    <s v="ORD10302"/>
    <d v="2026-05-31T00:00:00"/>
    <x v="16"/>
    <x v="74"/>
    <x v="5"/>
    <x v="3"/>
    <x v="3"/>
    <n v="3"/>
    <n v="3510"/>
    <n v="0.25"/>
    <n v="7897.5"/>
    <n v="6783.26"/>
    <n v="1114.24"/>
    <x v="4"/>
  </r>
  <r>
    <s v="ORD10085"/>
    <d v="2026-06-01T00:00:00"/>
    <x v="17"/>
    <x v="85"/>
    <x v="2"/>
    <x v="2"/>
    <x v="3"/>
    <n v="3"/>
    <n v="1640"/>
    <n v="0"/>
    <n v="4920"/>
    <n v="2639.65"/>
    <n v="2280.35"/>
    <x v="0"/>
  </r>
  <r>
    <s v="ORD10182"/>
    <d v="2026-06-01T00:00:00"/>
    <x v="17"/>
    <x v="166"/>
    <x v="15"/>
    <x v="0"/>
    <x v="0"/>
    <n v="1"/>
    <n v="2710"/>
    <n v="0.1"/>
    <n v="2439"/>
    <n v="1625.95"/>
    <n v="813.05"/>
    <x v="1"/>
  </r>
  <r>
    <s v="ORD10073"/>
    <d v="2026-06-02T00:00:00"/>
    <x v="17"/>
    <x v="246"/>
    <x v="1"/>
    <x v="1"/>
    <x v="3"/>
    <n v="1"/>
    <n v="2470"/>
    <n v="0.1"/>
    <n v="2223"/>
    <n v="1590.33"/>
    <n v="632.66999999999996"/>
    <x v="3"/>
  </r>
  <r>
    <s v="ORD10481"/>
    <d v="2026-06-04T00:00:00"/>
    <x v="17"/>
    <x v="130"/>
    <x v="0"/>
    <x v="0"/>
    <x v="0"/>
    <n v="2"/>
    <n v="3380"/>
    <n v="0"/>
    <n v="6760"/>
    <n v="4218.6099999999997"/>
    <n v="2541.39"/>
    <x v="0"/>
  </r>
  <r>
    <s v="ORD10101"/>
    <d v="2026-06-07T00:00:00"/>
    <x v="17"/>
    <x v="225"/>
    <x v="0"/>
    <x v="0"/>
    <x v="1"/>
    <n v="2"/>
    <n v="3530"/>
    <n v="0.05"/>
    <n v="6707"/>
    <n v="4177.17"/>
    <n v="2529.83"/>
    <x v="0"/>
  </r>
  <r>
    <s v="ORD10044"/>
    <d v="2026-06-09T00:00:00"/>
    <x v="17"/>
    <x v="96"/>
    <x v="13"/>
    <x v="0"/>
    <x v="0"/>
    <n v="1"/>
    <n v="2300"/>
    <n v="0.1"/>
    <n v="2070"/>
    <n v="1291.3900000000001"/>
    <n v="778.61"/>
    <x v="0"/>
  </r>
  <r>
    <s v="ORD10082"/>
    <d v="2026-06-10T00:00:00"/>
    <x v="17"/>
    <x v="247"/>
    <x v="10"/>
    <x v="3"/>
    <x v="3"/>
    <n v="2"/>
    <n v="1810"/>
    <n v="0.1"/>
    <n v="3258"/>
    <n v="2081.7800000000002"/>
    <n v="1176.22"/>
    <x v="1"/>
  </r>
  <r>
    <s v="ORD10323"/>
    <d v="2026-06-12T00:00:00"/>
    <x v="17"/>
    <x v="248"/>
    <x v="6"/>
    <x v="2"/>
    <x v="0"/>
    <n v="2"/>
    <n v="1930"/>
    <n v="0.1"/>
    <n v="3474"/>
    <n v="2306.14"/>
    <n v="1167.8599999999999"/>
    <x v="3"/>
  </r>
  <r>
    <s v="ORD10050"/>
    <d v="2026-06-15T00:00:00"/>
    <x v="17"/>
    <x v="249"/>
    <x v="5"/>
    <x v="3"/>
    <x v="1"/>
    <n v="1"/>
    <n v="3370"/>
    <n v="0.1"/>
    <n v="3033"/>
    <n v="2149.6799999999998"/>
    <n v="883.32"/>
    <x v="3"/>
  </r>
  <r>
    <s v="ORD10447"/>
    <d v="2026-06-15T00:00:00"/>
    <x v="17"/>
    <x v="250"/>
    <x v="14"/>
    <x v="0"/>
    <x v="1"/>
    <n v="2"/>
    <n v="1870"/>
    <n v="0.15"/>
    <n v="3179"/>
    <n v="2122.2399999999998"/>
    <n v="1056.76"/>
    <x v="4"/>
  </r>
  <r>
    <s v="ORD10423"/>
    <d v="2026-06-16T00:00:00"/>
    <x v="17"/>
    <x v="158"/>
    <x v="15"/>
    <x v="0"/>
    <x v="1"/>
    <n v="2"/>
    <n v="2890"/>
    <n v="0.05"/>
    <n v="5491"/>
    <n v="3368.28"/>
    <n v="2122.7199999999998"/>
    <x v="1"/>
  </r>
  <r>
    <s v="ORD10213"/>
    <d v="2026-06-20T00:00:00"/>
    <x v="17"/>
    <x v="237"/>
    <x v="10"/>
    <x v="3"/>
    <x v="1"/>
    <n v="2"/>
    <n v="1750"/>
    <n v="0"/>
    <n v="3500"/>
    <n v="2040.66"/>
    <n v="1459.34"/>
    <x v="0"/>
  </r>
  <r>
    <s v="ORD10187"/>
    <d v="2026-06-21T00:00:00"/>
    <x v="17"/>
    <x v="251"/>
    <x v="2"/>
    <x v="2"/>
    <x v="2"/>
    <n v="1"/>
    <n v="1550"/>
    <n v="0.1"/>
    <n v="1395"/>
    <n v="921.51"/>
    <n v="473.49"/>
    <x v="3"/>
  </r>
  <r>
    <s v="ORD10467"/>
    <d v="2026-06-22T00:00:00"/>
    <x v="17"/>
    <x v="242"/>
    <x v="12"/>
    <x v="2"/>
    <x v="0"/>
    <n v="1"/>
    <n v="2890"/>
    <n v="0"/>
    <n v="2890"/>
    <n v="1849.92"/>
    <n v="1040.08"/>
    <x v="3"/>
  </r>
  <r>
    <s v="ORD10235"/>
    <d v="2026-06-28T00:00:00"/>
    <x v="17"/>
    <x v="67"/>
    <x v="2"/>
    <x v="2"/>
    <x v="1"/>
    <n v="1"/>
    <n v="1600"/>
    <n v="0.25"/>
    <n v="1200"/>
    <n v="879.61"/>
    <n v="320.39"/>
    <x v="1"/>
  </r>
  <r>
    <s v="ORD10056"/>
    <d v="2026-07-01T00:00:00"/>
    <x v="18"/>
    <x v="146"/>
    <x v="3"/>
    <x v="1"/>
    <x v="0"/>
    <n v="3"/>
    <n v="3970"/>
    <n v="0.1"/>
    <n v="10719"/>
    <n v="7694.73"/>
    <n v="3024.27"/>
    <x v="4"/>
  </r>
  <r>
    <s v="ORD10080"/>
    <d v="2026-07-01T00:00:00"/>
    <x v="18"/>
    <x v="252"/>
    <x v="4"/>
    <x v="1"/>
    <x v="3"/>
    <n v="1"/>
    <n v="2050"/>
    <n v="0.15"/>
    <n v="1742.5"/>
    <n v="1218.04"/>
    <n v="524.46"/>
    <x v="1"/>
  </r>
  <r>
    <s v="ORD10279"/>
    <d v="2026-07-01T00:00:00"/>
    <x v="18"/>
    <x v="107"/>
    <x v="7"/>
    <x v="2"/>
    <x v="1"/>
    <n v="1"/>
    <n v="1520"/>
    <n v="0.25"/>
    <n v="1140"/>
    <n v="866.75"/>
    <n v="273.25"/>
    <x v="4"/>
  </r>
  <r>
    <s v="ORD10281"/>
    <d v="2026-07-01T00:00:00"/>
    <x v="18"/>
    <x v="229"/>
    <x v="7"/>
    <x v="2"/>
    <x v="0"/>
    <n v="2"/>
    <n v="1490"/>
    <n v="0"/>
    <n v="2980"/>
    <n v="1690.52"/>
    <n v="1289.48"/>
    <x v="0"/>
  </r>
  <r>
    <s v="ORD10075"/>
    <d v="2026-07-02T00:00:00"/>
    <x v="18"/>
    <x v="83"/>
    <x v="1"/>
    <x v="1"/>
    <x v="3"/>
    <n v="2"/>
    <n v="2400"/>
    <n v="0.2"/>
    <n v="3840"/>
    <n v="3188.36"/>
    <n v="651.64"/>
    <x v="2"/>
  </r>
  <r>
    <s v="ORD10079"/>
    <d v="2026-07-04T00:00:00"/>
    <x v="18"/>
    <x v="20"/>
    <x v="6"/>
    <x v="2"/>
    <x v="2"/>
    <n v="4"/>
    <n v="2070"/>
    <n v="0.15"/>
    <n v="7038"/>
    <n v="4496.3100000000004"/>
    <n v="2541.69"/>
    <x v="0"/>
  </r>
  <r>
    <s v="ORD10442"/>
    <d v="2026-07-04T00:00:00"/>
    <x v="18"/>
    <x v="149"/>
    <x v="4"/>
    <x v="1"/>
    <x v="1"/>
    <n v="3"/>
    <n v="2050"/>
    <n v="0.1"/>
    <n v="5535"/>
    <n v="3577.75"/>
    <n v="1957.25"/>
    <x v="1"/>
  </r>
  <r>
    <s v="ORD10495"/>
    <d v="2026-07-04T00:00:00"/>
    <x v="18"/>
    <x v="102"/>
    <x v="8"/>
    <x v="3"/>
    <x v="1"/>
    <n v="1"/>
    <n v="5530"/>
    <n v="0"/>
    <n v="5530"/>
    <n v="3505.15"/>
    <n v="2024.85"/>
    <x v="0"/>
  </r>
  <r>
    <s v="ORD10130"/>
    <d v="2026-07-05T00:00:00"/>
    <x v="18"/>
    <x v="253"/>
    <x v="5"/>
    <x v="3"/>
    <x v="1"/>
    <n v="3"/>
    <n v="3360"/>
    <n v="0.1"/>
    <n v="9072"/>
    <n v="6515.67"/>
    <n v="2556.33"/>
    <x v="2"/>
  </r>
  <r>
    <s v="ORD10397"/>
    <d v="2026-07-05T00:00:00"/>
    <x v="18"/>
    <x v="183"/>
    <x v="10"/>
    <x v="3"/>
    <x v="3"/>
    <n v="1"/>
    <n v="1850"/>
    <n v="0"/>
    <n v="1850"/>
    <n v="1028.9100000000001"/>
    <n v="821.09"/>
    <x v="1"/>
  </r>
  <r>
    <s v="ORD10463"/>
    <d v="2026-07-05T00:00:00"/>
    <x v="18"/>
    <x v="213"/>
    <x v="4"/>
    <x v="1"/>
    <x v="3"/>
    <n v="1"/>
    <n v="1970"/>
    <n v="0"/>
    <n v="1970"/>
    <n v="1231.1400000000001"/>
    <n v="738.86"/>
    <x v="3"/>
  </r>
  <r>
    <s v="ORD10197"/>
    <d v="2026-07-08T00:00:00"/>
    <x v="18"/>
    <x v="254"/>
    <x v="5"/>
    <x v="3"/>
    <x v="0"/>
    <n v="4"/>
    <n v="3450"/>
    <n v="0.15"/>
    <n v="11730"/>
    <n v="8899.34"/>
    <n v="2830.66"/>
    <x v="2"/>
  </r>
  <r>
    <s v="ORD10270"/>
    <d v="2026-07-08T00:00:00"/>
    <x v="18"/>
    <x v="191"/>
    <x v="4"/>
    <x v="1"/>
    <x v="0"/>
    <n v="1"/>
    <n v="2030"/>
    <n v="0.1"/>
    <n v="1827"/>
    <n v="1180.92"/>
    <n v="646.08000000000004"/>
    <x v="1"/>
  </r>
  <r>
    <s v="ORD10300"/>
    <d v="2026-07-09T00:00:00"/>
    <x v="18"/>
    <x v="94"/>
    <x v="7"/>
    <x v="2"/>
    <x v="0"/>
    <n v="3"/>
    <n v="1500"/>
    <n v="0.1"/>
    <n v="4050"/>
    <n v="2600.4499999999998"/>
    <n v="1449.55"/>
    <x v="3"/>
  </r>
  <r>
    <s v="ORD10274"/>
    <d v="2026-07-12T00:00:00"/>
    <x v="18"/>
    <x v="117"/>
    <x v="7"/>
    <x v="2"/>
    <x v="1"/>
    <n v="4"/>
    <n v="1450"/>
    <n v="0.1"/>
    <n v="5220"/>
    <n v="3451.94"/>
    <n v="1768.06"/>
    <x v="4"/>
  </r>
  <r>
    <s v="ORD10306"/>
    <d v="2026-07-12T00:00:00"/>
    <x v="18"/>
    <x v="225"/>
    <x v="8"/>
    <x v="3"/>
    <x v="1"/>
    <n v="3"/>
    <n v="5520"/>
    <n v="0.1"/>
    <n v="14904"/>
    <n v="10756.46"/>
    <n v="4147.54"/>
    <x v="0"/>
  </r>
  <r>
    <s v="ORD10218"/>
    <d v="2026-07-13T00:00:00"/>
    <x v="18"/>
    <x v="255"/>
    <x v="4"/>
    <x v="1"/>
    <x v="0"/>
    <n v="2"/>
    <n v="1950"/>
    <n v="0.1"/>
    <n v="3510"/>
    <n v="2380.16"/>
    <n v="1129.8399999999999"/>
    <x v="3"/>
  </r>
  <r>
    <s v="ORD10250"/>
    <d v="2026-07-13T00:00:00"/>
    <x v="18"/>
    <x v="36"/>
    <x v="15"/>
    <x v="0"/>
    <x v="1"/>
    <n v="1"/>
    <n v="2900"/>
    <n v="0"/>
    <n v="2900"/>
    <n v="1644.58"/>
    <n v="1255.42"/>
    <x v="0"/>
  </r>
  <r>
    <s v="ORD10339"/>
    <d v="2026-07-14T00:00:00"/>
    <x v="18"/>
    <x v="89"/>
    <x v="10"/>
    <x v="3"/>
    <x v="2"/>
    <n v="1"/>
    <n v="1750"/>
    <n v="0"/>
    <n v="1750"/>
    <n v="1025.8800000000001"/>
    <n v="724.12"/>
    <x v="3"/>
  </r>
  <r>
    <s v="ORD10340"/>
    <d v="2026-07-14T00:00:00"/>
    <x v="18"/>
    <x v="238"/>
    <x v="6"/>
    <x v="2"/>
    <x v="1"/>
    <n v="2"/>
    <n v="1930"/>
    <n v="0.05"/>
    <n v="3667"/>
    <n v="2317.59"/>
    <n v="1349.41"/>
    <x v="1"/>
  </r>
  <r>
    <s v="ORD10363"/>
    <d v="2026-07-14T00:00:00"/>
    <x v="18"/>
    <x v="9"/>
    <x v="9"/>
    <x v="1"/>
    <x v="1"/>
    <n v="2"/>
    <n v="1320"/>
    <n v="0.05"/>
    <n v="2508"/>
    <n v="1551.73"/>
    <n v="956.27"/>
    <x v="0"/>
  </r>
  <r>
    <s v="ORD10003"/>
    <d v="2026-07-15T00:00:00"/>
    <x v="18"/>
    <x v="256"/>
    <x v="1"/>
    <x v="1"/>
    <x v="2"/>
    <n v="1"/>
    <n v="2450"/>
    <n v="0.25"/>
    <n v="1837.5"/>
    <n v="1511.93"/>
    <n v="325.57"/>
    <x v="3"/>
  </r>
  <r>
    <s v="ORD10179"/>
    <d v="2026-07-16T00:00:00"/>
    <x v="18"/>
    <x v="115"/>
    <x v="9"/>
    <x v="1"/>
    <x v="0"/>
    <n v="2"/>
    <n v="1250"/>
    <n v="0.05"/>
    <n v="2375"/>
    <n v="1508.92"/>
    <n v="866.08"/>
    <x v="0"/>
  </r>
  <r>
    <s v="ORD10201"/>
    <d v="2026-07-17T00:00:00"/>
    <x v="18"/>
    <x v="218"/>
    <x v="7"/>
    <x v="2"/>
    <x v="1"/>
    <n v="2"/>
    <n v="1470"/>
    <n v="0.15"/>
    <n v="2499"/>
    <n v="1651.14"/>
    <n v="847.86"/>
    <x v="0"/>
  </r>
  <r>
    <s v="ORD10380"/>
    <d v="2026-07-17T00:00:00"/>
    <x v="18"/>
    <x v="187"/>
    <x v="12"/>
    <x v="2"/>
    <x v="2"/>
    <n v="3"/>
    <n v="3100"/>
    <n v="0.1"/>
    <n v="8370"/>
    <n v="5551.33"/>
    <n v="2818.67"/>
    <x v="3"/>
  </r>
  <r>
    <s v="ORD10465"/>
    <d v="2026-07-17T00:00:00"/>
    <x v="18"/>
    <x v="9"/>
    <x v="14"/>
    <x v="0"/>
    <x v="3"/>
    <n v="1"/>
    <n v="1940"/>
    <n v="0"/>
    <n v="1940"/>
    <n v="1062.73"/>
    <n v="877.27"/>
    <x v="0"/>
  </r>
  <r>
    <s v="ORD10389"/>
    <d v="2026-07-18T00:00:00"/>
    <x v="18"/>
    <x v="257"/>
    <x v="5"/>
    <x v="3"/>
    <x v="2"/>
    <n v="5"/>
    <n v="3390"/>
    <n v="0"/>
    <n v="16950"/>
    <n v="10675.75"/>
    <n v="6274.25"/>
    <x v="3"/>
  </r>
  <r>
    <s v="ORD10005"/>
    <d v="2026-07-19T00:00:00"/>
    <x v="18"/>
    <x v="161"/>
    <x v="5"/>
    <x v="3"/>
    <x v="1"/>
    <n v="2"/>
    <n v="3590"/>
    <n v="0.1"/>
    <n v="6462"/>
    <n v="4313.7700000000004"/>
    <n v="2148.23"/>
    <x v="0"/>
  </r>
  <r>
    <s v="ORD10296"/>
    <d v="2026-07-19T00:00:00"/>
    <x v="18"/>
    <x v="217"/>
    <x v="3"/>
    <x v="1"/>
    <x v="1"/>
    <n v="1"/>
    <n v="3950"/>
    <n v="0.05"/>
    <n v="3752.5"/>
    <n v="2427.9"/>
    <n v="1324.6"/>
    <x v="2"/>
  </r>
  <r>
    <s v="ORD10284"/>
    <d v="2026-07-21T00:00:00"/>
    <x v="18"/>
    <x v="258"/>
    <x v="11"/>
    <x v="3"/>
    <x v="3"/>
    <n v="2"/>
    <n v="3030"/>
    <n v="0.05"/>
    <n v="5757"/>
    <n v="4012.08"/>
    <n v="1744.92"/>
    <x v="0"/>
  </r>
  <r>
    <s v="ORD10290"/>
    <d v="2026-07-22T00:00:00"/>
    <x v="18"/>
    <x v="124"/>
    <x v="14"/>
    <x v="0"/>
    <x v="3"/>
    <n v="2"/>
    <n v="1880"/>
    <n v="0.1"/>
    <n v="3384"/>
    <n v="2116.7199999999998"/>
    <n v="1267.28"/>
    <x v="0"/>
  </r>
  <r>
    <s v="ORD10390"/>
    <d v="2026-07-22T00:00:00"/>
    <x v="18"/>
    <x v="175"/>
    <x v="12"/>
    <x v="2"/>
    <x v="1"/>
    <n v="1"/>
    <n v="2890"/>
    <n v="0.1"/>
    <n v="2601"/>
    <n v="1817.87"/>
    <n v="783.13"/>
    <x v="0"/>
  </r>
  <r>
    <s v="ORD10303"/>
    <d v="2026-07-25T00:00:00"/>
    <x v="18"/>
    <x v="37"/>
    <x v="12"/>
    <x v="2"/>
    <x v="0"/>
    <n v="4"/>
    <n v="2950"/>
    <n v="0.15"/>
    <n v="10030"/>
    <n v="7300.65"/>
    <n v="2729.35"/>
    <x v="1"/>
  </r>
  <r>
    <s v="ORD10033"/>
    <d v="2026-07-26T00:00:00"/>
    <x v="18"/>
    <x v="235"/>
    <x v="8"/>
    <x v="3"/>
    <x v="1"/>
    <n v="1"/>
    <n v="5510"/>
    <n v="0"/>
    <n v="5510"/>
    <n v="3608.78"/>
    <n v="1901.22"/>
    <x v="1"/>
  </r>
  <r>
    <s v="ORD10379"/>
    <d v="2026-07-27T00:00:00"/>
    <x v="18"/>
    <x v="42"/>
    <x v="5"/>
    <x v="3"/>
    <x v="2"/>
    <n v="2"/>
    <n v="3620"/>
    <n v="0.2"/>
    <n v="5792"/>
    <n v="4358.26"/>
    <n v="1433.74"/>
    <x v="0"/>
  </r>
  <r>
    <s v="ORD10076"/>
    <d v="2026-07-28T00:00:00"/>
    <x v="18"/>
    <x v="23"/>
    <x v="4"/>
    <x v="1"/>
    <x v="3"/>
    <n v="2"/>
    <n v="2040"/>
    <n v="0.05"/>
    <n v="3876"/>
    <n v="2354.9299999999998"/>
    <n v="1521.07"/>
    <x v="3"/>
  </r>
  <r>
    <s v="ORD10193"/>
    <d v="2026-07-28T00:00:00"/>
    <x v="18"/>
    <x v="259"/>
    <x v="12"/>
    <x v="2"/>
    <x v="0"/>
    <n v="2"/>
    <n v="2920"/>
    <n v="0.1"/>
    <n v="5256"/>
    <n v="3674.93"/>
    <n v="1581.07"/>
    <x v="0"/>
  </r>
  <r>
    <s v="ORD10194"/>
    <d v="2026-07-28T00:00:00"/>
    <x v="18"/>
    <x v="200"/>
    <x v="3"/>
    <x v="1"/>
    <x v="2"/>
    <n v="1"/>
    <n v="3880"/>
    <n v="0.15"/>
    <n v="3298"/>
    <n v="2505.3000000000002"/>
    <n v="792.7"/>
    <x v="0"/>
  </r>
  <r>
    <s v="ORD10032"/>
    <d v="2026-07-29T00:00:00"/>
    <x v="18"/>
    <x v="80"/>
    <x v="5"/>
    <x v="3"/>
    <x v="3"/>
    <n v="3"/>
    <n v="3370"/>
    <n v="0.05"/>
    <n v="9604.5"/>
    <n v="6522.09"/>
    <n v="3082.41"/>
    <x v="2"/>
  </r>
  <r>
    <s v="ORD10424"/>
    <d v="2026-07-29T00:00:00"/>
    <x v="18"/>
    <x v="158"/>
    <x v="4"/>
    <x v="1"/>
    <x v="3"/>
    <n v="1"/>
    <n v="2010"/>
    <n v="0.05"/>
    <n v="1909.5"/>
    <n v="1193.03"/>
    <n v="716.47"/>
    <x v="1"/>
  </r>
  <r>
    <s v="ORD10289"/>
    <d v="2026-07-31T00:00:00"/>
    <x v="18"/>
    <x v="260"/>
    <x v="11"/>
    <x v="3"/>
    <x v="1"/>
    <n v="3"/>
    <n v="3100"/>
    <n v="0.1"/>
    <n v="8370"/>
    <n v="6005.49"/>
    <n v="2364.5100000000002"/>
    <x v="3"/>
  </r>
  <r>
    <s v="ORD10062"/>
    <d v="2026-08-01T00:00:00"/>
    <x v="19"/>
    <x v="261"/>
    <x v="2"/>
    <x v="2"/>
    <x v="0"/>
    <n v="2"/>
    <n v="1610"/>
    <n v="0.25"/>
    <n v="2415"/>
    <n v="1814.76"/>
    <n v="600.24"/>
    <x v="2"/>
  </r>
  <r>
    <s v="ORD10451"/>
    <d v="2026-08-01T00:00:00"/>
    <x v="19"/>
    <x v="99"/>
    <x v="9"/>
    <x v="1"/>
    <x v="2"/>
    <n v="1"/>
    <n v="1320"/>
    <n v="0.05"/>
    <n v="1254"/>
    <n v="781.22"/>
    <n v="472.78"/>
    <x v="3"/>
  </r>
  <r>
    <s v="ORD10316"/>
    <d v="2026-08-03T00:00:00"/>
    <x v="19"/>
    <x v="7"/>
    <x v="3"/>
    <x v="1"/>
    <x v="2"/>
    <n v="2"/>
    <n v="4080"/>
    <n v="0.1"/>
    <n v="7344"/>
    <n v="4934.75"/>
    <n v="2409.25"/>
    <x v="3"/>
  </r>
  <r>
    <s v="ORD10320"/>
    <d v="2026-08-04T00:00:00"/>
    <x v="19"/>
    <x v="141"/>
    <x v="4"/>
    <x v="1"/>
    <x v="2"/>
    <n v="2"/>
    <n v="1930"/>
    <n v="0.1"/>
    <n v="3474"/>
    <n v="2380.15"/>
    <n v="1093.8499999999999"/>
    <x v="3"/>
  </r>
  <r>
    <s v="ORD10252"/>
    <d v="2026-08-07T00:00:00"/>
    <x v="19"/>
    <x v="50"/>
    <x v="12"/>
    <x v="2"/>
    <x v="0"/>
    <n v="1"/>
    <n v="2990"/>
    <n v="0.05"/>
    <n v="2840.5"/>
    <n v="1799.57"/>
    <n v="1040.93"/>
    <x v="0"/>
  </r>
  <r>
    <s v="ORD10337"/>
    <d v="2026-08-09T00:00:00"/>
    <x v="19"/>
    <x v="73"/>
    <x v="9"/>
    <x v="1"/>
    <x v="0"/>
    <n v="2"/>
    <n v="1340"/>
    <n v="0"/>
    <n v="2680"/>
    <n v="1480.63"/>
    <n v="1199.3699999999999"/>
    <x v="0"/>
  </r>
  <r>
    <s v="ORD10487"/>
    <d v="2026-08-11T00:00:00"/>
    <x v="19"/>
    <x v="251"/>
    <x v="11"/>
    <x v="3"/>
    <x v="1"/>
    <n v="1"/>
    <n v="3120"/>
    <n v="0.15"/>
    <n v="2652"/>
    <n v="1919.66"/>
    <n v="732.34"/>
    <x v="0"/>
  </r>
  <r>
    <s v="ORD10215"/>
    <d v="2026-08-17T00:00:00"/>
    <x v="19"/>
    <x v="95"/>
    <x v="5"/>
    <x v="3"/>
    <x v="2"/>
    <n v="1"/>
    <n v="3400"/>
    <n v="0.1"/>
    <n v="3060"/>
    <n v="2225.79"/>
    <n v="834.21"/>
    <x v="0"/>
  </r>
  <r>
    <s v="ORD10432"/>
    <d v="2026-08-22T00:00:00"/>
    <x v="19"/>
    <x v="163"/>
    <x v="14"/>
    <x v="0"/>
    <x v="2"/>
    <n v="1"/>
    <n v="1830"/>
    <n v="0.05"/>
    <n v="1738.5"/>
    <n v="1074.3900000000001"/>
    <n v="664.11"/>
    <x v="3"/>
  </r>
  <r>
    <s v="ORD10474"/>
    <d v="2026-08-22T00:00:00"/>
    <x v="19"/>
    <x v="25"/>
    <x v="5"/>
    <x v="3"/>
    <x v="1"/>
    <n v="2"/>
    <n v="3490"/>
    <n v="0.15"/>
    <n v="5933"/>
    <n v="4379.58"/>
    <n v="1553.42"/>
    <x v="3"/>
  </r>
  <r>
    <s v="ORD10311"/>
    <d v="2026-08-23T00:00:00"/>
    <x v="19"/>
    <x v="70"/>
    <x v="7"/>
    <x v="2"/>
    <x v="0"/>
    <n v="2"/>
    <n v="1530"/>
    <n v="0.15"/>
    <n v="2601"/>
    <n v="1687.45"/>
    <n v="913.55"/>
    <x v="2"/>
  </r>
  <r>
    <s v="ORD10089"/>
    <d v="2026-08-27T00:00:00"/>
    <x v="19"/>
    <x v="178"/>
    <x v="2"/>
    <x v="2"/>
    <x v="2"/>
    <n v="1"/>
    <n v="1640"/>
    <n v="0"/>
    <n v="1640"/>
    <n v="922.18"/>
    <n v="717.82"/>
    <x v="0"/>
  </r>
  <r>
    <s v="ORD10155"/>
    <d v="2026-08-28T00:00:00"/>
    <x v="19"/>
    <x v="262"/>
    <x v="10"/>
    <x v="3"/>
    <x v="1"/>
    <n v="2"/>
    <n v="1820"/>
    <n v="0.05"/>
    <n v="3458"/>
    <n v="2126.0500000000002"/>
    <n v="1331.95"/>
    <x v="2"/>
  </r>
  <r>
    <s v="ORD10314"/>
    <d v="2026-08-29T00:00:00"/>
    <x v="19"/>
    <x v="37"/>
    <x v="8"/>
    <x v="3"/>
    <x v="3"/>
    <n v="2"/>
    <n v="5630"/>
    <n v="0.05"/>
    <n v="10697"/>
    <n v="7092.43"/>
    <n v="3604.57"/>
    <x v="4"/>
  </r>
  <r>
    <s v="ORD10446"/>
    <d v="2026-08-30T00:00:00"/>
    <x v="19"/>
    <x v="127"/>
    <x v="3"/>
    <x v="1"/>
    <x v="2"/>
    <n v="1"/>
    <n v="4090"/>
    <n v="0.1"/>
    <n v="3681"/>
    <n v="2543.7199999999998"/>
    <n v="1137.28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A8AB76-B133-4544-AFBC-5231BC734FDA}" name="PivotTable1" cacheId="1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:B6" firstHeaderRow="1" firstDataRow="1" firstDataCol="1"/>
  <pivotFields count="14">
    <pivotField compact="0" outline="0" showAll="0"/>
    <pivotField compact="0" numFmtId="22" outline="0" showAll="0"/>
    <pivotField compact="0" numFmtId="165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numFmtId="164" outline="0" showAll="0"/>
    <pivotField compact="0" numFmtId="10" outline="0" showAll="0"/>
    <pivotField dataField="1" compact="0" numFmtId="164" outline="0" showAll="0"/>
    <pivotField compact="0" numFmtId="164" outline="0" showAll="0"/>
    <pivotField compact="0" outline="0" showAll="0"/>
    <pivotField compact="0" outline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0" baseField="0" baseItem="0" numFmtId="164"/>
  </dataFields>
  <formats count="5">
    <format dxfId="16">
      <pivotArea field="5" type="button" dataOnly="0" labelOnly="1" outline="0" axis="axisRow" fieldPosition="0"/>
    </format>
    <format dxfId="17">
      <pivotArea dataOnly="0" labelOnly="1" outline="0" fieldPosition="0">
        <references count="1">
          <reference field="5" count="0"/>
        </references>
      </pivotArea>
    </format>
    <format dxfId="18">
      <pivotArea dataOnly="0" labelOnly="1" grandRow="1" outline="0" fieldPosition="0"/>
    </format>
    <format dxfId="19">
      <pivotArea outline="0" fieldPosition="0">
        <references count="1">
          <reference field="4294967294" count="1" selected="0">
            <x v="0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A79A0E-E6B9-44FC-83F0-2B173427752D}" name="PivotTable1" cacheId="1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14">
    <pivotField compact="0" outline="0" showAll="0"/>
    <pivotField compact="0" numFmtId="22" outline="0" showAll="0"/>
    <pivotField compact="0" numFmtId="165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numFmtId="164" outline="0" showAll="0"/>
    <pivotField compact="0" numFmtId="10" outline="0" showAll="0"/>
    <pivotField dataField="1" compact="0" numFmtId="164" outline="0" showAll="0"/>
    <pivotField compact="0" numFmtId="164" outline="0" showAll="0"/>
    <pivotField compact="0" outline="0" showAll="0"/>
    <pivotField compact="0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0" baseField="0" baseItem="0" numFmtId="164"/>
  </dataFields>
  <chartFormats count="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7295E-B923-4D5B-AC0B-DB22B33D73C6}" name="PivotTable2" cacheId="1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3:B9" firstHeaderRow="1" firstDataRow="1" firstDataCol="1"/>
  <pivotFields count="14">
    <pivotField compact="0" outline="0" showAll="0"/>
    <pivotField compact="0" numFmtId="22" outline="0" showAll="0"/>
    <pivotField compact="0" numFmtId="165" outline="0" showAll="0"/>
    <pivotField compact="0" outline="0" showAll="0"/>
    <pivotField axis="axisRow" compact="0" outline="0" showAll="0" measureFilter="1">
      <items count="17">
        <item x="8"/>
        <item x="2"/>
        <item x="4"/>
        <item x="7"/>
        <item x="5"/>
        <item x="10"/>
        <item x="15"/>
        <item x="6"/>
        <item x="14"/>
        <item x="11"/>
        <item x="0"/>
        <item x="9"/>
        <item x="13"/>
        <item x="3"/>
        <item x="12"/>
        <item x="1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numFmtId="10" outline="0" showAll="0"/>
    <pivotField compact="0" numFmtId="164" outline="0" showAll="0"/>
    <pivotField compact="0" numFmtId="164" outline="0" showAll="0"/>
    <pivotField dataField="1" compact="0" outline="0" showAll="0"/>
    <pivotField compact="0" outline="0" showAll="0"/>
  </pivotFields>
  <rowFields count="1">
    <field x="4"/>
  </rowFields>
  <rowItems count="6">
    <i>
      <x/>
    </i>
    <i>
      <x v="4"/>
    </i>
    <i>
      <x v="13"/>
    </i>
    <i>
      <x v="14"/>
    </i>
    <i>
      <x v="15"/>
    </i>
    <i t="grand">
      <x/>
    </i>
  </rowItems>
  <colItems count="1">
    <i/>
  </colItems>
  <dataFields count="1">
    <dataField name="Sum of Profit" fld="12" baseField="0" baseItem="0"/>
  </dataFields>
  <chartFormats count="10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408F98-91D2-4622-80F5-59C06DF5519B}" name="PivotTable4" cacheId="1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24" firstHeaderRow="1" firstDataRow="1" firstDataCol="1"/>
  <pivotFields count="14">
    <pivotField compact="0" outline="0" showAll="0"/>
    <pivotField compact="0" numFmtId="22" outline="0" showAll="0"/>
    <pivotField axis="axisRow" compact="0" numFmtId="165" outline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0" outline="0" showAll="0"/>
    <pivotField dataField="1" compact="0" numFmtId="164" outline="0" showAll="0"/>
    <pivotField compact="0" numFmtId="164" outline="0" showAll="0"/>
    <pivotField compact="0" outline="0" showAll="0"/>
    <pivotField compact="0" outline="0" showAll="0"/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Sales" fld="10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8BE64A-B0A5-49C8-B2D4-F600B5320C29}" name="PivotTable5" cacheId="1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4" firstHeaderRow="1" firstDataRow="1" firstDataCol="1"/>
  <pivotFields count="14">
    <pivotField compact="0" outline="0" showAll="0"/>
    <pivotField compact="0" numFmtId="22" outline="0" showAll="0"/>
    <pivotField compact="0" numFmtId="165" outline="0" showAll="0"/>
    <pivotField axis="axisRow" compact="0" outline="0" showAll="0" measureFilter="1" sortType="descending">
      <items count="264">
        <item x="199"/>
        <item x="72"/>
        <item x="142"/>
        <item x="51"/>
        <item x="87"/>
        <item x="30"/>
        <item x="41"/>
        <item x="203"/>
        <item x="88"/>
        <item x="5"/>
        <item x="56"/>
        <item x="181"/>
        <item x="102"/>
        <item x="122"/>
        <item x="258"/>
        <item x="192"/>
        <item x="34"/>
        <item x="210"/>
        <item x="174"/>
        <item x="74"/>
        <item x="33"/>
        <item x="29"/>
        <item x="81"/>
        <item x="109"/>
        <item x="73"/>
        <item x="221"/>
        <item x="123"/>
        <item x="158"/>
        <item x="253"/>
        <item x="57"/>
        <item x="101"/>
        <item x="47"/>
        <item x="255"/>
        <item x="256"/>
        <item x="58"/>
        <item x="193"/>
        <item x="153"/>
        <item x="19"/>
        <item x="254"/>
        <item x="230"/>
        <item x="262"/>
        <item x="200"/>
        <item x="144"/>
        <item x="11"/>
        <item x="163"/>
        <item x="117"/>
        <item x="245"/>
        <item x="206"/>
        <item x="2"/>
        <item x="22"/>
        <item x="229"/>
        <item x="95"/>
        <item x="100"/>
        <item x="17"/>
        <item x="75"/>
        <item x="161"/>
        <item x="6"/>
        <item x="260"/>
        <item x="65"/>
        <item x="175"/>
        <item x="176"/>
        <item x="15"/>
        <item x="190"/>
        <item x="228"/>
        <item x="83"/>
        <item x="134"/>
        <item x="118"/>
        <item x="213"/>
        <item x="173"/>
        <item x="80"/>
        <item x="115"/>
        <item x="156"/>
        <item x="97"/>
        <item x="13"/>
        <item x="127"/>
        <item x="197"/>
        <item x="257"/>
        <item x="212"/>
        <item x="125"/>
        <item x="145"/>
        <item x="9"/>
        <item x="0"/>
        <item x="23"/>
        <item x="151"/>
        <item x="124"/>
        <item x="198"/>
        <item x="243"/>
        <item x="69"/>
        <item x="137"/>
        <item x="121"/>
        <item x="61"/>
        <item x="114"/>
        <item x="43"/>
        <item x="183"/>
        <item x="209"/>
        <item x="259"/>
        <item x="50"/>
        <item x="20"/>
        <item x="217"/>
        <item x="191"/>
        <item x="169"/>
        <item x="120"/>
        <item x="52"/>
        <item x="232"/>
        <item x="220"/>
        <item x="131"/>
        <item x="92"/>
        <item x="177"/>
        <item x="21"/>
        <item x="246"/>
        <item x="108"/>
        <item x="139"/>
        <item x="76"/>
        <item x="70"/>
        <item x="36"/>
        <item x="67"/>
        <item x="224"/>
        <item x="133"/>
        <item x="62"/>
        <item x="113"/>
        <item x="104"/>
        <item x="138"/>
        <item x="219"/>
        <item x="244"/>
        <item x="184"/>
        <item x="204"/>
        <item x="136"/>
        <item x="28"/>
        <item x="211"/>
        <item x="106"/>
        <item x="233"/>
        <item x="48"/>
        <item x="3"/>
        <item x="236"/>
        <item x="37"/>
        <item x="250"/>
        <item x="216"/>
        <item x="85"/>
        <item x="227"/>
        <item x="96"/>
        <item x="7"/>
        <item x="179"/>
        <item x="157"/>
        <item x="1"/>
        <item x="91"/>
        <item x="182"/>
        <item x="168"/>
        <item x="155"/>
        <item x="42"/>
        <item x="55"/>
        <item x="248"/>
        <item x="90"/>
        <item x="240"/>
        <item x="98"/>
        <item x="242"/>
        <item x="160"/>
        <item x="40"/>
        <item x="201"/>
        <item x="196"/>
        <item x="154"/>
        <item x="12"/>
        <item x="189"/>
        <item x="94"/>
        <item x="14"/>
        <item x="78"/>
        <item x="218"/>
        <item x="16"/>
        <item x="225"/>
        <item x="68"/>
        <item x="4"/>
        <item x="188"/>
        <item x="234"/>
        <item x="32"/>
        <item x="205"/>
        <item x="239"/>
        <item x="166"/>
        <item x="186"/>
        <item x="222"/>
        <item x="93"/>
        <item x="172"/>
        <item x="251"/>
        <item x="66"/>
        <item x="39"/>
        <item x="146"/>
        <item x="49"/>
        <item x="26"/>
        <item x="111"/>
        <item x="71"/>
        <item x="116"/>
        <item x="162"/>
        <item x="53"/>
        <item x="150"/>
        <item x="25"/>
        <item x="223"/>
        <item x="178"/>
        <item x="129"/>
        <item x="237"/>
        <item x="82"/>
        <item x="231"/>
        <item x="89"/>
        <item x="207"/>
        <item x="77"/>
        <item x="215"/>
        <item x="84"/>
        <item x="180"/>
        <item x="8"/>
        <item x="208"/>
        <item x="27"/>
        <item x="167"/>
        <item x="79"/>
        <item x="99"/>
        <item x="164"/>
        <item x="187"/>
        <item x="152"/>
        <item x="54"/>
        <item x="143"/>
        <item x="105"/>
        <item x="214"/>
        <item x="44"/>
        <item x="126"/>
        <item x="18"/>
        <item x="238"/>
        <item x="135"/>
        <item x="35"/>
        <item x="171"/>
        <item x="159"/>
        <item x="195"/>
        <item x="247"/>
        <item x="24"/>
        <item x="235"/>
        <item x="141"/>
        <item x="31"/>
        <item x="165"/>
        <item x="252"/>
        <item x="249"/>
        <item x="60"/>
        <item x="202"/>
        <item x="110"/>
        <item x="119"/>
        <item x="170"/>
        <item x="107"/>
        <item x="63"/>
        <item x="10"/>
        <item x="59"/>
        <item x="140"/>
        <item x="130"/>
        <item x="132"/>
        <item x="261"/>
        <item x="128"/>
        <item x="45"/>
        <item x="226"/>
        <item x="64"/>
        <item x="194"/>
        <item x="148"/>
        <item x="241"/>
        <item x="149"/>
        <item x="147"/>
        <item x="112"/>
        <item x="86"/>
        <item x="38"/>
        <item x="46"/>
        <item x="103"/>
        <item x="18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0" outline="0" showAll="0"/>
    <pivotField dataField="1" compact="0" numFmtId="164" outline="0" showAll="0"/>
    <pivotField compact="0" numFmtId="164" outline="0" showAll="0"/>
    <pivotField compact="0" outline="0" showAll="0"/>
    <pivotField compact="0" outline="0" showAll="0"/>
  </pivotFields>
  <rowFields count="1">
    <field x="3"/>
  </rowFields>
  <rowItems count="11">
    <i>
      <x v="97"/>
    </i>
    <i>
      <x v="204"/>
    </i>
    <i>
      <x v="12"/>
    </i>
    <i>
      <x v="134"/>
    </i>
    <i>
      <x v="29"/>
    </i>
    <i>
      <x v="167"/>
    </i>
    <i>
      <x v="184"/>
    </i>
    <i>
      <x v="245"/>
    </i>
    <i>
      <x v="207"/>
    </i>
    <i>
      <x v="182"/>
    </i>
    <i t="grand">
      <x/>
    </i>
  </rowItems>
  <colItems count="1">
    <i/>
  </colItems>
  <dataFields count="1">
    <dataField name="Sum of Sales" fld="10" baseField="0" baseItem="0" numFmtId="164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EE19CA-423E-44C2-88A0-E415CFC2AC5B}" name="PivotTable6" cacheId="1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9" firstHeaderRow="1" firstDataRow="1" firstDataCol="1"/>
  <pivotFields count="14">
    <pivotField compact="0" outline="0" showAll="0"/>
    <pivotField compact="0" numFmtId="22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0" outline="0" showAll="0"/>
    <pivotField dataField="1" compact="0" numFmtId="164" outline="0" showAll="0"/>
    <pivotField compact="0" numFmtId="164" outline="0" showAll="0"/>
    <pivotField compact="0" outline="0" showAll="0"/>
    <pivotField axis="axisRow" compact="0" outline="0" showAll="0">
      <items count="6">
        <item x="2"/>
        <item x="3"/>
        <item x="1"/>
        <item x="4"/>
        <item x="0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0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B30F21-D4C2-49C7-9948-6317E946825E}" name="PivotTable7" cacheId="1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8" firstHeaderRow="0" firstDataRow="1" firstDataCol="1"/>
  <pivotFields count="14">
    <pivotField compact="0" outline="0" showAll="0"/>
    <pivotField compact="0" numFmtId="22" outline="0" showAll="0"/>
    <pivotField compact="0" numFmtId="165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numFmtId="164" outline="0" showAll="0"/>
    <pivotField compact="0" numFmtId="10" outline="0" showAll="0"/>
    <pivotField dataField="1" compact="0" numFmtId="164" outline="0" showAll="0"/>
    <pivotField compact="0" numFmtId="164" outline="0" showAll="0"/>
    <pivotField dataField="1" compact="0" outline="0" showAll="0"/>
    <pivotField compact="0" outline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0" baseField="0" baseItem="0" numFmtId="164"/>
    <dataField name="Sum of Profit" fld="1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751993-FE2A-4D57-8489-9320E5F5F8FD}" name="Ecommerce_Data" displayName="Ecommerce_Data" ref="A1:N501" totalsRowShown="0" headerRowDxfId="15" dataDxfId="14">
  <autoFilter ref="A1:N501" xr:uid="{82751993-FE2A-4D57-8489-9320E5F5F8FD}"/>
  <tableColumns count="14">
    <tableColumn id="1" xr3:uid="{B93F3C12-A0BE-4CC7-840E-49F2CB18645E}" name="Order_ID" dataDxfId="13"/>
    <tableColumn id="2" xr3:uid="{292C4163-0EB1-46FD-AD39-DE7CE7D18230}" name="Order_Date" dataDxfId="12"/>
    <tableColumn id="14" xr3:uid="{08FA983D-540F-4FB7-9789-7882C7CEE8A7}" name="Month" dataDxfId="11">
      <calculatedColumnFormula>DATE(YEAR(B2),MONTH(B2),1)</calculatedColumnFormula>
    </tableColumn>
    <tableColumn id="3" xr3:uid="{350DBE59-E4C2-4142-B162-11249669E235}" name="Customer_ID" dataDxfId="10"/>
    <tableColumn id="4" xr3:uid="{0048A6B2-4BCB-4C3D-B40F-B395E3B79541}" name="Product" dataDxfId="9"/>
    <tableColumn id="5" xr3:uid="{9AD6A701-30B0-4635-B790-DA71D9514CD3}" name="Category" dataDxfId="8"/>
    <tableColumn id="6" xr3:uid="{E72FE731-6C89-4980-8306-6EB44EB5AB38}" name="Region" dataDxfId="7"/>
    <tableColumn id="7" xr3:uid="{196ECD67-E683-4279-980B-FDEAB594D4A5}" name="Quantity" dataDxfId="6"/>
    <tableColumn id="8" xr3:uid="{759F9907-94E2-4D3A-9D50-E159B43F9CEB}" name="Unit_Price" dataDxfId="5"/>
    <tableColumn id="9" xr3:uid="{70C25579-9A88-497D-898A-A04BC61C28A2}" name="Discount" dataDxfId="4"/>
    <tableColumn id="10" xr3:uid="{E32EB402-37BE-4F1A-B4DD-8443F7EBE375}" name="Sales" dataDxfId="3"/>
    <tableColumn id="11" xr3:uid="{E38E6078-41E7-4C54-AD4B-8B2AA095280B}" name="Cost" dataDxfId="2"/>
    <tableColumn id="12" xr3:uid="{DAB797FA-941E-4281-8606-62D82221EF01}" name="Profit" dataDxfId="1"/>
    <tableColumn id="13" xr3:uid="{D8579D3E-A80C-4A50-9C58-6DB6700BC355}" name="Payment_metho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E1E28-061C-44FF-815D-2450B793F3EC}">
  <dimension ref="A1:D6"/>
  <sheetViews>
    <sheetView workbookViewId="0">
      <selection activeCell="A17" sqref="A17"/>
    </sheetView>
  </sheetViews>
  <sheetFormatPr defaultRowHeight="15"/>
  <cols>
    <col min="1" max="1" width="15.5703125" style="1" bestFit="1" customWidth="1"/>
    <col min="2" max="2" width="13.85546875" style="1" bestFit="1" customWidth="1"/>
    <col min="3" max="3" width="12.85546875" style="1" bestFit="1" customWidth="1"/>
    <col min="4" max="4" width="16.28515625" style="1" customWidth="1"/>
  </cols>
  <sheetData>
    <row r="1" spans="1:4">
      <c r="A1" s="9" t="s">
        <v>0</v>
      </c>
      <c r="B1" t="s">
        <v>1</v>
      </c>
      <c r="C1"/>
      <c r="D1"/>
    </row>
    <row r="2" spans="1:4">
      <c r="A2" s="1" t="s">
        <v>2</v>
      </c>
      <c r="B2" s="4">
        <v>348142.5</v>
      </c>
      <c r="C2"/>
      <c r="D2"/>
    </row>
    <row r="3" spans="1:4">
      <c r="A3" s="1" t="s">
        <v>3</v>
      </c>
      <c r="B3" s="4">
        <v>666129.5</v>
      </c>
      <c r="C3"/>
      <c r="D3"/>
    </row>
    <row r="4" spans="1:4">
      <c r="A4" s="1" t="s">
        <v>4</v>
      </c>
      <c r="B4" s="4">
        <v>493551.5</v>
      </c>
      <c r="C4"/>
      <c r="D4"/>
    </row>
    <row r="5" spans="1:4">
      <c r="A5" s="1" t="s">
        <v>5</v>
      </c>
      <c r="B5" s="4">
        <v>794730.5</v>
      </c>
      <c r="C5"/>
      <c r="D5"/>
    </row>
    <row r="6" spans="1:4">
      <c r="A6" s="1" t="s">
        <v>6</v>
      </c>
      <c r="B6" s="4">
        <v>2302554</v>
      </c>
      <c r="C6"/>
      <c r="D6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82EFC-5374-4C12-A6F4-9CC38ABAD760}">
  <dimension ref="A3:B8"/>
  <sheetViews>
    <sheetView workbookViewId="0">
      <selection activeCell="A4" sqref="A4"/>
    </sheetView>
  </sheetViews>
  <sheetFormatPr defaultRowHeight="15"/>
  <cols>
    <col min="1" max="1" width="11.7109375" bestFit="1" customWidth="1"/>
    <col min="2" max="3" width="13.85546875" bestFit="1" customWidth="1"/>
  </cols>
  <sheetData>
    <row r="3" spans="1:2">
      <c r="A3" s="10" t="s">
        <v>7</v>
      </c>
      <c r="B3" t="s">
        <v>1</v>
      </c>
    </row>
    <row r="4" spans="1:2">
      <c r="A4" t="s">
        <v>8</v>
      </c>
      <c r="B4" s="11">
        <v>337615</v>
      </c>
    </row>
    <row r="5" spans="1:2">
      <c r="A5" t="s">
        <v>9</v>
      </c>
      <c r="B5" s="11">
        <v>549519</v>
      </c>
    </row>
    <row r="6" spans="1:2">
      <c r="A6" t="s">
        <v>10</v>
      </c>
      <c r="B6" s="11">
        <v>778244</v>
      </c>
    </row>
    <row r="7" spans="1:2">
      <c r="A7" t="s">
        <v>11</v>
      </c>
      <c r="B7" s="11">
        <v>637176</v>
      </c>
    </row>
    <row r="8" spans="1:2">
      <c r="A8" t="s">
        <v>6</v>
      </c>
      <c r="B8" s="11">
        <v>2302554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27F4B-B307-4A77-BCB0-8DA51A1E4065}">
  <dimension ref="A3:B9"/>
  <sheetViews>
    <sheetView workbookViewId="0">
      <selection activeCell="A3" sqref="A3"/>
    </sheetView>
  </sheetViews>
  <sheetFormatPr defaultRowHeight="15"/>
  <cols>
    <col min="1" max="1" width="16.28515625" bestFit="1" customWidth="1"/>
    <col min="2" max="2" width="12.85546875" bestFit="1" customWidth="1"/>
    <col min="3" max="3" width="13.85546875" bestFit="1" customWidth="1"/>
    <col min="4" max="4" width="12.85546875" bestFit="1" customWidth="1"/>
  </cols>
  <sheetData>
    <row r="3" spans="1:2">
      <c r="A3" s="10" t="s">
        <v>12</v>
      </c>
      <c r="B3" t="s">
        <v>13</v>
      </c>
    </row>
    <row r="4" spans="1:2">
      <c r="A4" t="s">
        <v>14</v>
      </c>
      <c r="B4" s="12">
        <v>91731.67</v>
      </c>
    </row>
    <row r="5" spans="1:2">
      <c r="A5" t="s">
        <v>15</v>
      </c>
      <c r="B5" s="12">
        <v>71130.570000000022</v>
      </c>
    </row>
    <row r="6" spans="1:2">
      <c r="A6" t="s">
        <v>16</v>
      </c>
      <c r="B6" s="12">
        <v>67763.289999999979</v>
      </c>
    </row>
    <row r="7" spans="1:2">
      <c r="A7" t="s">
        <v>17</v>
      </c>
      <c r="B7" s="12">
        <v>57020.630000000005</v>
      </c>
    </row>
    <row r="8" spans="1:2">
      <c r="A8" t="s">
        <v>18</v>
      </c>
      <c r="B8" s="12">
        <v>65109.78</v>
      </c>
    </row>
    <row r="9" spans="1:2">
      <c r="A9" t="s">
        <v>6</v>
      </c>
      <c r="B9" s="12">
        <v>352755.94000000006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A6C99-E1DA-4908-B615-E12F3464B6A3}">
  <dimension ref="A3:B24"/>
  <sheetViews>
    <sheetView workbookViewId="0">
      <selection activeCell="J5" sqref="J5"/>
    </sheetView>
  </sheetViews>
  <sheetFormatPr defaultRowHeight="15"/>
  <cols>
    <col min="1" max="1" width="11.7109375" bestFit="1" customWidth="1"/>
    <col min="2" max="2" width="13.85546875" bestFit="1" customWidth="1"/>
  </cols>
  <sheetData>
    <row r="3" spans="1:2">
      <c r="A3" s="10" t="s">
        <v>19</v>
      </c>
      <c r="B3" t="s">
        <v>1</v>
      </c>
    </row>
    <row r="4" spans="1:2">
      <c r="A4" s="15">
        <v>45658</v>
      </c>
      <c r="B4" s="11">
        <v>137766</v>
      </c>
    </row>
    <row r="5" spans="1:2">
      <c r="A5" s="15">
        <v>45689</v>
      </c>
      <c r="B5" s="11">
        <v>105568</v>
      </c>
    </row>
    <row r="6" spans="1:2">
      <c r="A6" s="15">
        <v>45717</v>
      </c>
      <c r="B6" s="11">
        <v>133660</v>
      </c>
    </row>
    <row r="7" spans="1:2">
      <c r="A7" s="15">
        <v>45748</v>
      </c>
      <c r="B7" s="11">
        <v>153271</v>
      </c>
    </row>
    <row r="8" spans="1:2">
      <c r="A8" s="15">
        <v>45778</v>
      </c>
      <c r="B8" s="11">
        <v>67031.5</v>
      </c>
    </row>
    <row r="9" spans="1:2">
      <c r="A9" s="15">
        <v>45809</v>
      </c>
      <c r="B9" s="11">
        <v>112395.5</v>
      </c>
    </row>
    <row r="10" spans="1:2">
      <c r="A10" s="15">
        <v>45839</v>
      </c>
      <c r="B10" s="11">
        <v>109816.5</v>
      </c>
    </row>
    <row r="11" spans="1:2">
      <c r="A11" s="15">
        <v>45870</v>
      </c>
      <c r="B11" s="11">
        <v>143219</v>
      </c>
    </row>
    <row r="12" spans="1:2">
      <c r="A12" s="15">
        <v>45901</v>
      </c>
      <c r="B12" s="11">
        <v>118736.5</v>
      </c>
    </row>
    <row r="13" spans="1:2">
      <c r="A13" s="15">
        <v>45931</v>
      </c>
      <c r="B13" s="11">
        <v>125577.5</v>
      </c>
    </row>
    <row r="14" spans="1:2">
      <c r="A14" s="15">
        <v>45962</v>
      </c>
      <c r="B14" s="11">
        <v>91974.5</v>
      </c>
    </row>
    <row r="15" spans="1:2">
      <c r="A15" s="15">
        <v>45992</v>
      </c>
      <c r="B15" s="11">
        <v>90425.5</v>
      </c>
    </row>
    <row r="16" spans="1:2">
      <c r="A16" s="15">
        <v>46023</v>
      </c>
      <c r="B16" s="11">
        <v>146794</v>
      </c>
    </row>
    <row r="17" spans="1:2">
      <c r="A17" s="15">
        <v>46054</v>
      </c>
      <c r="B17" s="11">
        <v>80188.5</v>
      </c>
    </row>
    <row r="18" spans="1:2">
      <c r="A18" s="15">
        <v>46082</v>
      </c>
      <c r="B18" s="11">
        <v>121808</v>
      </c>
    </row>
    <row r="19" spans="1:2">
      <c r="A19" s="15">
        <v>46113</v>
      </c>
      <c r="B19" s="11">
        <v>101641</v>
      </c>
    </row>
    <row r="20" spans="1:2">
      <c r="A20" s="15">
        <v>46143</v>
      </c>
      <c r="B20" s="11">
        <v>141617.5</v>
      </c>
    </row>
    <row r="21" spans="1:2">
      <c r="A21" s="15">
        <v>46174</v>
      </c>
      <c r="B21" s="11">
        <v>52539</v>
      </c>
    </row>
    <row r="22" spans="1:2">
      <c r="A22" s="15">
        <v>46204</v>
      </c>
      <c r="B22" s="11">
        <v>213056.5</v>
      </c>
    </row>
    <row r="23" spans="1:2">
      <c r="A23" s="15">
        <v>46235</v>
      </c>
      <c r="B23" s="11">
        <v>55468</v>
      </c>
    </row>
    <row r="24" spans="1:2">
      <c r="A24" s="15" t="s">
        <v>6</v>
      </c>
      <c r="B24" s="11">
        <v>2302554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E55B0-2C3B-4B52-9CC1-B9EB1FD43DDF}">
  <dimension ref="A1:N77"/>
  <sheetViews>
    <sheetView showGridLines="0" tabSelected="1" workbookViewId="0">
      <selection activeCell="A73" sqref="A73"/>
    </sheetView>
  </sheetViews>
  <sheetFormatPr defaultRowHeight="15"/>
  <cols>
    <col min="1" max="1" width="15.140625" bestFit="1" customWidth="1"/>
    <col min="3" max="3" width="12.5703125" bestFit="1" customWidth="1"/>
    <col min="7" max="7" width="10.28515625" bestFit="1" customWidth="1"/>
  </cols>
  <sheetData>
    <row r="1" spans="1:14" ht="33.75">
      <c r="A1" s="27" t="s">
        <v>20</v>
      </c>
      <c r="B1" s="23"/>
      <c r="C1" s="23"/>
      <c r="D1" s="23"/>
      <c r="E1" s="23"/>
      <c r="F1" s="23"/>
      <c r="G1" s="23"/>
      <c r="H1" s="23"/>
      <c r="I1" s="23"/>
      <c r="J1" s="23"/>
      <c r="K1" s="24"/>
    </row>
    <row r="2" spans="1:14" ht="21">
      <c r="A2" s="32" t="s">
        <v>21</v>
      </c>
    </row>
    <row r="4" spans="1:14" ht="18">
      <c r="A4" s="28" t="s">
        <v>22</v>
      </c>
      <c r="B4" s="18"/>
      <c r="C4" s="31" t="s">
        <v>23</v>
      </c>
      <c r="D4" s="18"/>
      <c r="E4" s="28" t="s">
        <v>24</v>
      </c>
      <c r="F4" s="18"/>
      <c r="G4" s="28" t="s">
        <v>25</v>
      </c>
      <c r="H4" s="18"/>
      <c r="I4" s="18"/>
      <c r="J4" s="28" t="s">
        <v>26</v>
      </c>
      <c r="K4" s="18"/>
      <c r="L4" s="28" t="s">
        <v>27</v>
      </c>
      <c r="M4" s="18"/>
      <c r="N4" s="18"/>
    </row>
    <row r="5" spans="1:14" ht="15.75">
      <c r="A5" s="33">
        <f>Analysis!B4</f>
        <v>2302554</v>
      </c>
      <c r="B5" s="18"/>
      <c r="C5" s="34">
        <f>Analysis!B6</f>
        <v>758699.97999999963</v>
      </c>
      <c r="D5" s="18"/>
      <c r="E5" s="29">
        <f>Analysis!B7</f>
        <v>500</v>
      </c>
      <c r="F5" s="18"/>
      <c r="G5" s="34">
        <f>Analysis!B9</f>
        <v>4605.1080000000002</v>
      </c>
      <c r="H5" s="18"/>
      <c r="I5" s="18"/>
      <c r="J5" s="30">
        <f>Analysis!B10</f>
        <v>0.32950366419202315</v>
      </c>
      <c r="K5" s="18"/>
      <c r="L5" s="29">
        <f>Analysis!B11</f>
        <v>263</v>
      </c>
      <c r="M5" s="18"/>
      <c r="N5" s="18"/>
    </row>
    <row r="40" spans="1:8" ht="26.25">
      <c r="A40" s="25" t="s">
        <v>28</v>
      </c>
      <c r="B40" s="23"/>
      <c r="C40" s="23"/>
      <c r="D40" s="23"/>
      <c r="E40" s="23"/>
      <c r="F40" s="23"/>
      <c r="G40" s="23"/>
      <c r="H40" s="24"/>
    </row>
    <row r="42" spans="1:8" ht="18">
      <c r="A42" s="26" t="s">
        <v>29</v>
      </c>
    </row>
    <row r="43" spans="1:8" ht="15.75">
      <c r="A43" s="20" t="s">
        <v>30</v>
      </c>
      <c r="B43" s="19"/>
      <c r="C43" s="19"/>
    </row>
    <row r="45" spans="1:8" ht="18">
      <c r="A45" s="26" t="s">
        <v>31</v>
      </c>
    </row>
    <row r="46" spans="1:8" ht="15.75">
      <c r="A46" s="22" t="s">
        <v>32</v>
      </c>
    </row>
    <row r="48" spans="1:8" ht="18">
      <c r="A48" s="26" t="s">
        <v>33</v>
      </c>
    </row>
    <row r="49" spans="1:1" ht="15.75">
      <c r="A49" s="22" t="s">
        <v>34</v>
      </c>
    </row>
    <row r="51" spans="1:1" ht="18">
      <c r="A51" s="26" t="s">
        <v>35</v>
      </c>
    </row>
    <row r="52" spans="1:1" ht="15.75">
      <c r="A52" s="20" t="s">
        <v>36</v>
      </c>
    </row>
    <row r="54" spans="1:1" ht="18">
      <c r="A54" s="26" t="s">
        <v>37</v>
      </c>
    </row>
    <row r="55" spans="1:1" ht="15.75">
      <c r="A55" s="21" t="s">
        <v>38</v>
      </c>
    </row>
    <row r="57" spans="1:1" ht="18">
      <c r="A57" s="26" t="s">
        <v>39</v>
      </c>
    </row>
    <row r="58" spans="1:1" ht="15.75">
      <c r="A58" s="21" t="s">
        <v>40</v>
      </c>
    </row>
    <row r="60" spans="1:1" ht="18">
      <c r="A60" s="26" t="s">
        <v>41</v>
      </c>
    </row>
    <row r="61" spans="1:1" ht="15.75">
      <c r="A61" s="20" t="s">
        <v>42</v>
      </c>
    </row>
    <row r="63" spans="1:1" ht="18">
      <c r="A63" s="26" t="s">
        <v>43</v>
      </c>
    </row>
    <row r="64" spans="1:1" ht="15.75">
      <c r="A64" s="21" t="s">
        <v>44</v>
      </c>
    </row>
    <row r="66" spans="1:1" ht="18">
      <c r="A66" s="26" t="s">
        <v>45</v>
      </c>
    </row>
    <row r="67" spans="1:1" ht="15.75">
      <c r="A67" s="21" t="s">
        <v>46</v>
      </c>
    </row>
    <row r="69" spans="1:1" ht="18">
      <c r="A69" s="26" t="s">
        <v>47</v>
      </c>
    </row>
    <row r="70" spans="1:1" ht="15.75">
      <c r="A70" s="20" t="s">
        <v>48</v>
      </c>
    </row>
    <row r="73" spans="1:1" ht="30.75">
      <c r="A73" s="19" t="s">
        <v>49</v>
      </c>
    </row>
    <row r="74" spans="1:1">
      <c r="A74" s="19"/>
    </row>
    <row r="75" spans="1:1">
      <c r="A75" s="19"/>
    </row>
    <row r="76" spans="1:1">
      <c r="A76" s="19"/>
    </row>
    <row r="77" spans="1:1">
      <c r="A77" s="19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0DDAA-F6CA-4DD1-87A1-C84B1EA35C42}">
  <dimension ref="A3:B14"/>
  <sheetViews>
    <sheetView workbookViewId="0">
      <selection activeCell="A3" sqref="A3"/>
    </sheetView>
  </sheetViews>
  <sheetFormatPr defaultRowHeight="15"/>
  <cols>
    <col min="1" max="1" width="15.85546875" bestFit="1" customWidth="1"/>
    <col min="2" max="2" width="12.42578125" bestFit="1" customWidth="1"/>
    <col min="3" max="4" width="12.85546875" bestFit="1" customWidth="1"/>
  </cols>
  <sheetData>
    <row r="3" spans="1:2">
      <c r="A3" s="10" t="s">
        <v>50</v>
      </c>
      <c r="B3" t="s">
        <v>1</v>
      </c>
    </row>
    <row r="4" spans="1:2">
      <c r="A4" t="s">
        <v>51</v>
      </c>
      <c r="B4" s="11">
        <v>42439</v>
      </c>
    </row>
    <row r="5" spans="1:2">
      <c r="A5" t="s">
        <v>52</v>
      </c>
      <c r="B5" s="11">
        <v>32616.5</v>
      </c>
    </row>
    <row r="6" spans="1:2">
      <c r="A6" t="s">
        <v>53</v>
      </c>
      <c r="B6" s="11">
        <v>28570</v>
      </c>
    </row>
    <row r="7" spans="1:2">
      <c r="A7" t="s">
        <v>54</v>
      </c>
      <c r="B7" s="11">
        <v>26569.5</v>
      </c>
    </row>
    <row r="8" spans="1:2">
      <c r="A8" t="s">
        <v>55</v>
      </c>
      <c r="B8" s="11">
        <v>24973</v>
      </c>
    </row>
    <row r="9" spans="1:2">
      <c r="A9" t="s">
        <v>56</v>
      </c>
      <c r="B9" s="11">
        <v>24931</v>
      </c>
    </row>
    <row r="10" spans="1:2">
      <c r="A10" t="s">
        <v>57</v>
      </c>
      <c r="B10" s="11">
        <v>24772</v>
      </c>
    </row>
    <row r="11" spans="1:2">
      <c r="A11" t="s">
        <v>58</v>
      </c>
      <c r="B11" s="11">
        <v>24330</v>
      </c>
    </row>
    <row r="12" spans="1:2">
      <c r="A12" t="s">
        <v>59</v>
      </c>
      <c r="B12" s="11">
        <v>23869</v>
      </c>
    </row>
    <row r="13" spans="1:2">
      <c r="A13" t="s">
        <v>60</v>
      </c>
      <c r="B13" s="11">
        <v>22012</v>
      </c>
    </row>
    <row r="14" spans="1:2">
      <c r="A14" t="s">
        <v>6</v>
      </c>
      <c r="B14" s="11">
        <v>275082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4991C-A3DE-4682-B2FB-96068B5EDEBE}">
  <dimension ref="A3:B9"/>
  <sheetViews>
    <sheetView workbookViewId="0">
      <selection activeCell="A3" sqref="A3"/>
    </sheetView>
  </sheetViews>
  <sheetFormatPr defaultRowHeight="15"/>
  <cols>
    <col min="1" max="1" width="20.5703125" bestFit="1" customWidth="1"/>
    <col min="2" max="2" width="13.85546875" bestFit="1" customWidth="1"/>
    <col min="3" max="4" width="17.7109375" bestFit="1" customWidth="1"/>
  </cols>
  <sheetData>
    <row r="3" spans="1:2">
      <c r="A3" s="10" t="s">
        <v>61</v>
      </c>
      <c r="B3" t="s">
        <v>1</v>
      </c>
    </row>
    <row r="4" spans="1:2">
      <c r="A4" t="s">
        <v>62</v>
      </c>
      <c r="B4" s="11">
        <v>377603.5</v>
      </c>
    </row>
    <row r="5" spans="1:2">
      <c r="A5" t="s">
        <v>63</v>
      </c>
      <c r="B5" s="11">
        <v>542717</v>
      </c>
    </row>
    <row r="6" spans="1:2">
      <c r="A6" t="s">
        <v>64</v>
      </c>
      <c r="B6" s="11">
        <v>418543</v>
      </c>
    </row>
    <row r="7" spans="1:2">
      <c r="A7" t="s">
        <v>65</v>
      </c>
      <c r="B7" s="11">
        <v>164937</v>
      </c>
    </row>
    <row r="8" spans="1:2">
      <c r="A8" t="s">
        <v>66</v>
      </c>
      <c r="B8" s="11">
        <v>798753.5</v>
      </c>
    </row>
    <row r="9" spans="1:2">
      <c r="A9" t="s">
        <v>6</v>
      </c>
      <c r="B9" s="11">
        <v>2302554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7D7C6-DCAC-45DD-B176-D9B48ED631F7}">
  <dimension ref="A3:D8"/>
  <sheetViews>
    <sheetView workbookViewId="0">
      <selection activeCell="D8" sqref="D8"/>
    </sheetView>
  </sheetViews>
  <sheetFormatPr defaultRowHeight="15"/>
  <cols>
    <col min="1" max="1" width="15.5703125" bestFit="1" customWidth="1"/>
    <col min="2" max="2" width="13.85546875" bestFit="1" customWidth="1"/>
    <col min="3" max="3" width="12.85546875" bestFit="1" customWidth="1"/>
    <col min="4" max="4" width="12.28515625" customWidth="1"/>
  </cols>
  <sheetData>
    <row r="3" spans="1:4">
      <c r="A3" s="10" t="s">
        <v>0</v>
      </c>
      <c r="B3" t="s">
        <v>1</v>
      </c>
      <c r="C3" t="s">
        <v>13</v>
      </c>
      <c r="D3" s="17" t="s">
        <v>67</v>
      </c>
    </row>
    <row r="4" spans="1:4">
      <c r="A4" t="s">
        <v>2</v>
      </c>
      <c r="B4" s="11">
        <v>348142.5</v>
      </c>
      <c r="C4" s="12">
        <v>126138.30000000002</v>
      </c>
      <c r="D4" s="16">
        <f>C4/B4</f>
        <v>0.36231801632952026</v>
      </c>
    </row>
    <row r="5" spans="1:4">
      <c r="A5" t="s">
        <v>3</v>
      </c>
      <c r="B5" s="11">
        <v>666129.5</v>
      </c>
      <c r="C5" s="12">
        <v>216314.91999999993</v>
      </c>
      <c r="D5" s="16">
        <f t="shared" ref="D5:D7" si="0">C5/B5</f>
        <v>0.32473403444825655</v>
      </c>
    </row>
    <row r="6" spans="1:4">
      <c r="A6" t="s">
        <v>4</v>
      </c>
      <c r="B6" s="11">
        <v>493551.5</v>
      </c>
      <c r="C6" s="12">
        <v>172755.37000000002</v>
      </c>
      <c r="D6" s="16">
        <f t="shared" si="0"/>
        <v>0.35002501258733898</v>
      </c>
    </row>
    <row r="7" spans="1:4">
      <c r="A7" t="s">
        <v>5</v>
      </c>
      <c r="B7" s="11">
        <v>794730.5</v>
      </c>
      <c r="C7" s="12">
        <v>243491.39</v>
      </c>
      <c r="D7" s="16">
        <f t="shared" si="0"/>
        <v>0.30638233967363782</v>
      </c>
    </row>
    <row r="8" spans="1:4">
      <c r="A8" t="s">
        <v>6</v>
      </c>
      <c r="B8" s="11">
        <v>2302554</v>
      </c>
      <c r="C8" s="12">
        <v>758699.98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1"/>
  <sheetViews>
    <sheetView workbookViewId="0">
      <selection activeCell="B7" sqref="B7"/>
    </sheetView>
  </sheetViews>
  <sheetFormatPr defaultRowHeight="15"/>
  <cols>
    <col min="1" max="1" width="12.28515625" style="1" customWidth="1"/>
    <col min="2" max="2" width="18.85546875" style="1" customWidth="1"/>
    <col min="3" max="3" width="18.85546875" style="13" customWidth="1"/>
    <col min="4" max="4" width="18.28515625" style="1" customWidth="1"/>
    <col min="5" max="5" width="18.85546875" style="1" customWidth="1"/>
    <col min="6" max="6" width="17" style="1" customWidth="1"/>
    <col min="7" max="7" width="11.85546875" style="1" customWidth="1"/>
    <col min="8" max="8" width="12.28515625" customWidth="1"/>
    <col min="9" max="9" width="16.140625" style="4" customWidth="1"/>
    <col min="10" max="10" width="13.140625" style="3" customWidth="1"/>
    <col min="11" max="11" width="12.85546875" style="4" customWidth="1"/>
    <col min="12" max="12" width="12.28515625" style="4" customWidth="1"/>
    <col min="13" max="13" width="11.28515625" style="1" customWidth="1"/>
    <col min="14" max="14" width="19.7109375" style="1" bestFit="1" customWidth="1"/>
  </cols>
  <sheetData>
    <row r="1" spans="1:16">
      <c r="A1" s="1" t="s">
        <v>68</v>
      </c>
      <c r="B1" s="1" t="s">
        <v>69</v>
      </c>
      <c r="C1" s="13" t="s">
        <v>19</v>
      </c>
      <c r="D1" s="1" t="s">
        <v>50</v>
      </c>
      <c r="E1" s="1" t="s">
        <v>12</v>
      </c>
      <c r="F1" s="1" t="s">
        <v>0</v>
      </c>
      <c r="G1" s="1" t="s">
        <v>7</v>
      </c>
      <c r="H1" s="1" t="s">
        <v>70</v>
      </c>
      <c r="I1" s="4" t="s">
        <v>71</v>
      </c>
      <c r="J1" s="3" t="s">
        <v>72</v>
      </c>
      <c r="K1" s="4" t="s">
        <v>73</v>
      </c>
      <c r="L1" s="4" t="s">
        <v>74</v>
      </c>
      <c r="M1" s="4" t="s">
        <v>75</v>
      </c>
      <c r="N1" s="1" t="s">
        <v>61</v>
      </c>
    </row>
    <row r="2" spans="1:16">
      <c r="A2" s="5" t="s">
        <v>76</v>
      </c>
      <c r="B2" s="8">
        <v>45658</v>
      </c>
      <c r="C2" s="14">
        <f t="shared" ref="C2:C65" si="0">DATE(YEAR(B2),MONTH(B2),1)</f>
        <v>45658</v>
      </c>
      <c r="D2" s="5" t="s">
        <v>77</v>
      </c>
      <c r="E2" s="5" t="s">
        <v>78</v>
      </c>
      <c r="F2" s="5" t="s">
        <v>2</v>
      </c>
      <c r="G2" s="5" t="s">
        <v>9</v>
      </c>
      <c r="H2" s="5">
        <v>1</v>
      </c>
      <c r="I2" s="6">
        <v>3380</v>
      </c>
      <c r="J2" s="7">
        <v>0.1</v>
      </c>
      <c r="K2" s="6">
        <v>3042</v>
      </c>
      <c r="L2" s="6">
        <v>2103.5700000000002</v>
      </c>
      <c r="M2" s="5">
        <v>938.43</v>
      </c>
      <c r="N2" s="5" t="s">
        <v>66</v>
      </c>
      <c r="O2" s="2"/>
      <c r="P2" s="2"/>
    </row>
    <row r="3" spans="1:16">
      <c r="A3" s="5" t="s">
        <v>79</v>
      </c>
      <c r="B3" s="8">
        <v>45658</v>
      </c>
      <c r="C3" s="14">
        <f t="shared" si="0"/>
        <v>45658</v>
      </c>
      <c r="D3" s="5" t="s">
        <v>80</v>
      </c>
      <c r="E3" s="5" t="s">
        <v>18</v>
      </c>
      <c r="F3" s="5" t="s">
        <v>3</v>
      </c>
      <c r="G3" s="5" t="s">
        <v>10</v>
      </c>
      <c r="H3" s="5">
        <v>1</v>
      </c>
      <c r="I3" s="6">
        <v>2420</v>
      </c>
      <c r="J3" s="7">
        <v>0.1</v>
      </c>
      <c r="K3" s="6">
        <v>2178</v>
      </c>
      <c r="L3" s="6">
        <v>1564.68</v>
      </c>
      <c r="M3" s="5">
        <v>613.32000000000005</v>
      </c>
      <c r="N3" s="5" t="s">
        <v>64</v>
      </c>
      <c r="O3" s="2"/>
      <c r="P3" s="2"/>
    </row>
    <row r="4" spans="1:16">
      <c r="A4" s="5" t="s">
        <v>81</v>
      </c>
      <c r="B4" s="8">
        <v>45660</v>
      </c>
      <c r="C4" s="14">
        <f t="shared" si="0"/>
        <v>45658</v>
      </c>
      <c r="D4" s="5" t="s">
        <v>82</v>
      </c>
      <c r="E4" s="5" t="s">
        <v>83</v>
      </c>
      <c r="F4" s="5" t="s">
        <v>4</v>
      </c>
      <c r="G4" s="5" t="s">
        <v>11</v>
      </c>
      <c r="H4" s="5">
        <v>3</v>
      </c>
      <c r="I4" s="6">
        <v>1610</v>
      </c>
      <c r="J4" s="7">
        <v>0.15</v>
      </c>
      <c r="K4" s="6">
        <v>4105.5</v>
      </c>
      <c r="L4" s="6">
        <v>2663.92</v>
      </c>
      <c r="M4" s="5">
        <v>1441.58</v>
      </c>
      <c r="N4" s="5" t="s">
        <v>66</v>
      </c>
      <c r="O4" s="2"/>
      <c r="P4" s="2"/>
    </row>
    <row r="5" spans="1:16">
      <c r="A5" s="5" t="s">
        <v>84</v>
      </c>
      <c r="B5" s="8">
        <v>45662</v>
      </c>
      <c r="C5" s="14">
        <f t="shared" si="0"/>
        <v>45658</v>
      </c>
      <c r="D5" s="5" t="s">
        <v>85</v>
      </c>
      <c r="E5" s="5" t="s">
        <v>16</v>
      </c>
      <c r="F5" s="5" t="s">
        <v>3</v>
      </c>
      <c r="G5" s="5" t="s">
        <v>11</v>
      </c>
      <c r="H5" s="5">
        <v>2</v>
      </c>
      <c r="I5" s="6">
        <v>3980</v>
      </c>
      <c r="J5" s="7">
        <v>0.1</v>
      </c>
      <c r="K5" s="6">
        <v>7164</v>
      </c>
      <c r="L5" s="6">
        <v>4857.63</v>
      </c>
      <c r="M5" s="5">
        <v>2306.37</v>
      </c>
      <c r="N5" s="5" t="s">
        <v>64</v>
      </c>
      <c r="O5" s="2"/>
      <c r="P5" s="2"/>
    </row>
    <row r="6" spans="1:16">
      <c r="A6" s="5" t="s">
        <v>86</v>
      </c>
      <c r="B6" s="8">
        <v>45662</v>
      </c>
      <c r="C6" s="14">
        <f t="shared" si="0"/>
        <v>45658</v>
      </c>
      <c r="D6" s="5" t="s">
        <v>87</v>
      </c>
      <c r="E6" s="5" t="s">
        <v>83</v>
      </c>
      <c r="F6" s="5" t="s">
        <v>4</v>
      </c>
      <c r="G6" s="5" t="s">
        <v>11</v>
      </c>
      <c r="H6" s="5">
        <v>1</v>
      </c>
      <c r="I6" s="6">
        <v>1570</v>
      </c>
      <c r="J6" s="7">
        <v>0.1</v>
      </c>
      <c r="K6" s="6">
        <v>1413</v>
      </c>
      <c r="L6" s="6">
        <v>914.1</v>
      </c>
      <c r="M6" s="5">
        <v>498.9</v>
      </c>
      <c r="N6" s="5" t="s">
        <v>66</v>
      </c>
      <c r="O6" s="2"/>
      <c r="P6" s="2"/>
    </row>
    <row r="7" spans="1:16">
      <c r="A7" s="5" t="s">
        <v>88</v>
      </c>
      <c r="B7" s="8">
        <v>45664</v>
      </c>
      <c r="C7" s="14">
        <f t="shared" si="0"/>
        <v>45658</v>
      </c>
      <c r="D7" s="5" t="s">
        <v>89</v>
      </c>
      <c r="E7" s="5" t="s">
        <v>90</v>
      </c>
      <c r="F7" s="5" t="s">
        <v>3</v>
      </c>
      <c r="G7" s="5" t="s">
        <v>9</v>
      </c>
      <c r="H7" s="5">
        <v>3</v>
      </c>
      <c r="I7" s="6">
        <v>2060</v>
      </c>
      <c r="J7" s="7">
        <v>0</v>
      </c>
      <c r="K7" s="6">
        <v>6180</v>
      </c>
      <c r="L7" s="6">
        <v>3568.5</v>
      </c>
      <c r="M7" s="5">
        <v>2611.5</v>
      </c>
      <c r="N7" s="5" t="s">
        <v>62</v>
      </c>
      <c r="O7" s="2"/>
      <c r="P7" s="2"/>
    </row>
    <row r="8" spans="1:16">
      <c r="A8" s="5" t="s">
        <v>91</v>
      </c>
      <c r="B8" s="8">
        <v>45664</v>
      </c>
      <c r="C8" s="14">
        <f t="shared" si="0"/>
        <v>45658</v>
      </c>
      <c r="D8" s="5" t="s">
        <v>92</v>
      </c>
      <c r="E8" s="5" t="s">
        <v>15</v>
      </c>
      <c r="F8" s="5" t="s">
        <v>5</v>
      </c>
      <c r="G8" s="5" t="s">
        <v>9</v>
      </c>
      <c r="H8" s="5">
        <v>3</v>
      </c>
      <c r="I8" s="6">
        <v>3600</v>
      </c>
      <c r="J8" s="7">
        <v>0</v>
      </c>
      <c r="K8" s="6">
        <v>10800</v>
      </c>
      <c r="L8" s="6">
        <v>6656.6</v>
      </c>
      <c r="M8" s="5">
        <v>4143.3999999999996</v>
      </c>
      <c r="N8" s="5" t="s">
        <v>64</v>
      </c>
      <c r="O8" s="2"/>
      <c r="P8" s="2"/>
    </row>
    <row r="9" spans="1:16">
      <c r="A9" s="5" t="s">
        <v>93</v>
      </c>
      <c r="B9" s="8">
        <v>45664</v>
      </c>
      <c r="C9" s="14">
        <f t="shared" si="0"/>
        <v>45658</v>
      </c>
      <c r="D9" s="5" t="s">
        <v>94</v>
      </c>
      <c r="E9" s="5" t="s">
        <v>95</v>
      </c>
      <c r="F9" s="5" t="s">
        <v>4</v>
      </c>
      <c r="G9" s="5" t="s">
        <v>9</v>
      </c>
      <c r="H9" s="5">
        <v>2</v>
      </c>
      <c r="I9" s="6">
        <v>2000</v>
      </c>
      <c r="J9" s="7">
        <v>0.15</v>
      </c>
      <c r="K9" s="6">
        <v>3400</v>
      </c>
      <c r="L9" s="6">
        <v>2236.62</v>
      </c>
      <c r="M9" s="5">
        <v>1163.3800000000001</v>
      </c>
      <c r="N9" s="5" t="s">
        <v>63</v>
      </c>
      <c r="O9" s="2"/>
      <c r="P9" s="2"/>
    </row>
    <row r="10" spans="1:16">
      <c r="A10" s="5" t="s">
        <v>96</v>
      </c>
      <c r="B10" s="8">
        <v>45664</v>
      </c>
      <c r="C10" s="14">
        <f t="shared" si="0"/>
        <v>45658</v>
      </c>
      <c r="D10" s="5" t="s">
        <v>97</v>
      </c>
      <c r="E10" s="5" t="s">
        <v>95</v>
      </c>
      <c r="F10" s="5" t="s">
        <v>4</v>
      </c>
      <c r="G10" s="5" t="s">
        <v>10</v>
      </c>
      <c r="H10" s="5">
        <v>1</v>
      </c>
      <c r="I10" s="6">
        <v>2030</v>
      </c>
      <c r="J10" s="7">
        <v>0</v>
      </c>
      <c r="K10" s="6">
        <v>2030</v>
      </c>
      <c r="L10" s="6">
        <v>1139.3800000000001</v>
      </c>
      <c r="M10" s="5">
        <v>890.62</v>
      </c>
      <c r="N10" s="5" t="s">
        <v>66</v>
      </c>
      <c r="O10" s="2"/>
      <c r="P10" s="2"/>
    </row>
    <row r="11" spans="1:16">
      <c r="A11" s="5" t="s">
        <v>98</v>
      </c>
      <c r="B11" s="8">
        <v>45666</v>
      </c>
      <c r="C11" s="14">
        <f t="shared" si="0"/>
        <v>45658</v>
      </c>
      <c r="D11" s="5" t="s">
        <v>99</v>
      </c>
      <c r="E11" s="5" t="s">
        <v>100</v>
      </c>
      <c r="F11" s="5" t="s">
        <v>4</v>
      </c>
      <c r="G11" s="5" t="s">
        <v>10</v>
      </c>
      <c r="H11" s="5">
        <v>3</v>
      </c>
      <c r="I11" s="6">
        <v>1490</v>
      </c>
      <c r="J11" s="7">
        <v>0.15</v>
      </c>
      <c r="K11" s="6">
        <v>3799.5</v>
      </c>
      <c r="L11" s="6">
        <v>2609.33</v>
      </c>
      <c r="M11" s="5">
        <v>1190.17</v>
      </c>
      <c r="N11" s="5" t="s">
        <v>64</v>
      </c>
      <c r="O11" s="2"/>
      <c r="P11" s="2"/>
    </row>
    <row r="12" spans="1:16">
      <c r="A12" s="5" t="s">
        <v>101</v>
      </c>
      <c r="B12" s="8">
        <v>45667</v>
      </c>
      <c r="C12" s="14">
        <f t="shared" si="0"/>
        <v>45658</v>
      </c>
      <c r="D12" s="5" t="s">
        <v>102</v>
      </c>
      <c r="E12" s="5" t="s">
        <v>14</v>
      </c>
      <c r="F12" s="5" t="s">
        <v>5</v>
      </c>
      <c r="G12" s="5" t="s">
        <v>11</v>
      </c>
      <c r="H12" s="5">
        <v>1</v>
      </c>
      <c r="I12" s="6">
        <v>5320</v>
      </c>
      <c r="J12" s="7">
        <v>0.15</v>
      </c>
      <c r="K12" s="6">
        <v>4522</v>
      </c>
      <c r="L12" s="6">
        <v>3521.99</v>
      </c>
      <c r="M12" s="5">
        <v>1000.01</v>
      </c>
      <c r="N12" s="5" t="s">
        <v>63</v>
      </c>
      <c r="O12" s="2"/>
      <c r="P12" s="2"/>
    </row>
    <row r="13" spans="1:16">
      <c r="A13" s="5" t="s">
        <v>103</v>
      </c>
      <c r="B13" s="8">
        <v>45667</v>
      </c>
      <c r="C13" s="14">
        <f t="shared" si="0"/>
        <v>45658</v>
      </c>
      <c r="D13" s="5" t="s">
        <v>104</v>
      </c>
      <c r="E13" s="5" t="s">
        <v>18</v>
      </c>
      <c r="F13" s="5" t="s">
        <v>3</v>
      </c>
      <c r="G13" s="5" t="s">
        <v>10</v>
      </c>
      <c r="H13" s="5">
        <v>4</v>
      </c>
      <c r="I13" s="6">
        <v>2510</v>
      </c>
      <c r="J13" s="7">
        <v>0.15</v>
      </c>
      <c r="K13" s="6">
        <v>8534</v>
      </c>
      <c r="L13" s="6">
        <v>6109.1</v>
      </c>
      <c r="M13" s="5">
        <v>2424.9</v>
      </c>
      <c r="N13" s="5" t="s">
        <v>66</v>
      </c>
      <c r="O13" s="2"/>
      <c r="P13" s="2"/>
    </row>
    <row r="14" spans="1:16">
      <c r="A14" s="5" t="s">
        <v>105</v>
      </c>
      <c r="B14" s="8">
        <v>45667</v>
      </c>
      <c r="C14" s="14">
        <f t="shared" si="0"/>
        <v>45658</v>
      </c>
      <c r="D14" s="5" t="s">
        <v>106</v>
      </c>
      <c r="E14" s="5" t="s">
        <v>18</v>
      </c>
      <c r="F14" s="5" t="s">
        <v>3</v>
      </c>
      <c r="G14" s="5" t="s">
        <v>8</v>
      </c>
      <c r="H14" s="5">
        <v>3</v>
      </c>
      <c r="I14" s="6">
        <v>2500</v>
      </c>
      <c r="J14" s="7">
        <v>0.15</v>
      </c>
      <c r="K14" s="6">
        <v>6375</v>
      </c>
      <c r="L14" s="6">
        <v>4618.29</v>
      </c>
      <c r="M14" s="5">
        <v>1756.71</v>
      </c>
      <c r="N14" s="5" t="s">
        <v>66</v>
      </c>
      <c r="O14" s="2"/>
      <c r="P14" s="2"/>
    </row>
    <row r="15" spans="1:16">
      <c r="A15" s="5" t="s">
        <v>107</v>
      </c>
      <c r="B15" s="8">
        <v>45667</v>
      </c>
      <c r="C15" s="14">
        <f t="shared" si="0"/>
        <v>45658</v>
      </c>
      <c r="D15" s="5" t="s">
        <v>108</v>
      </c>
      <c r="E15" s="5" t="s">
        <v>100</v>
      </c>
      <c r="F15" s="5" t="s">
        <v>4</v>
      </c>
      <c r="G15" s="5" t="s">
        <v>10</v>
      </c>
      <c r="H15" s="5">
        <v>1</v>
      </c>
      <c r="I15" s="6">
        <v>1530</v>
      </c>
      <c r="J15" s="7">
        <v>0.2</v>
      </c>
      <c r="K15" s="6">
        <v>1224</v>
      </c>
      <c r="L15" s="6">
        <v>848.08</v>
      </c>
      <c r="M15" s="5">
        <v>375.92</v>
      </c>
      <c r="N15" s="5" t="s">
        <v>66</v>
      </c>
      <c r="O15" s="2"/>
      <c r="P15" s="2"/>
    </row>
    <row r="16" spans="1:16">
      <c r="A16" s="5" t="s">
        <v>109</v>
      </c>
      <c r="B16" s="8">
        <v>45668</v>
      </c>
      <c r="C16" s="14">
        <f t="shared" si="0"/>
        <v>45658</v>
      </c>
      <c r="D16" s="5" t="s">
        <v>110</v>
      </c>
      <c r="E16" s="5" t="s">
        <v>18</v>
      </c>
      <c r="F16" s="5" t="s">
        <v>3</v>
      </c>
      <c r="G16" s="5" t="s">
        <v>8</v>
      </c>
      <c r="H16" s="5">
        <v>1</v>
      </c>
      <c r="I16" s="6">
        <v>2460</v>
      </c>
      <c r="J16" s="7">
        <v>0.1</v>
      </c>
      <c r="K16" s="6">
        <v>2214</v>
      </c>
      <c r="L16" s="6">
        <v>1560.69</v>
      </c>
      <c r="M16" s="5">
        <v>653.30999999999995</v>
      </c>
      <c r="N16" s="5" t="s">
        <v>66</v>
      </c>
      <c r="O16" s="2"/>
      <c r="P16" s="2"/>
    </row>
    <row r="17" spans="1:16">
      <c r="A17" s="5" t="s">
        <v>111</v>
      </c>
      <c r="B17" s="8">
        <v>45669</v>
      </c>
      <c r="C17" s="14">
        <f t="shared" si="0"/>
        <v>45658</v>
      </c>
      <c r="D17" s="5" t="s">
        <v>112</v>
      </c>
      <c r="E17" s="5" t="s">
        <v>18</v>
      </c>
      <c r="F17" s="5" t="s">
        <v>3</v>
      </c>
      <c r="G17" s="5" t="s">
        <v>10</v>
      </c>
      <c r="H17" s="5">
        <v>1</v>
      </c>
      <c r="I17" s="6">
        <v>2410</v>
      </c>
      <c r="J17" s="7">
        <v>0.15</v>
      </c>
      <c r="K17" s="6">
        <v>2048.5</v>
      </c>
      <c r="L17" s="6">
        <v>1533.16</v>
      </c>
      <c r="M17" s="5">
        <v>515.34</v>
      </c>
      <c r="N17" s="5" t="s">
        <v>66</v>
      </c>
      <c r="O17" s="2"/>
      <c r="P17" s="2"/>
    </row>
    <row r="18" spans="1:16">
      <c r="A18" s="5" t="s">
        <v>113</v>
      </c>
      <c r="B18" s="8">
        <v>45669</v>
      </c>
      <c r="C18" s="14">
        <f t="shared" si="0"/>
        <v>45658</v>
      </c>
      <c r="D18" s="5" t="s">
        <v>114</v>
      </c>
      <c r="E18" s="5" t="s">
        <v>95</v>
      </c>
      <c r="F18" s="5" t="s">
        <v>4</v>
      </c>
      <c r="G18" s="5" t="s">
        <v>10</v>
      </c>
      <c r="H18" s="5">
        <v>3</v>
      </c>
      <c r="I18" s="6">
        <v>2080</v>
      </c>
      <c r="J18" s="7">
        <v>0.05</v>
      </c>
      <c r="K18" s="6">
        <v>5928</v>
      </c>
      <c r="L18" s="6">
        <v>3416.24</v>
      </c>
      <c r="M18" s="5">
        <v>2511.7600000000002</v>
      </c>
      <c r="N18" s="5" t="s">
        <v>66</v>
      </c>
      <c r="O18" s="2"/>
      <c r="P18" s="2"/>
    </row>
    <row r="19" spans="1:16">
      <c r="A19" s="5" t="s">
        <v>115</v>
      </c>
      <c r="B19" s="8">
        <v>45669</v>
      </c>
      <c r="C19" s="14">
        <f t="shared" si="0"/>
        <v>45658</v>
      </c>
      <c r="D19" s="5" t="s">
        <v>116</v>
      </c>
      <c r="E19" s="5" t="s">
        <v>83</v>
      </c>
      <c r="F19" s="5" t="s">
        <v>4</v>
      </c>
      <c r="G19" s="5" t="s">
        <v>11</v>
      </c>
      <c r="H19" s="5">
        <v>1</v>
      </c>
      <c r="I19" s="6">
        <v>1540</v>
      </c>
      <c r="J19" s="7">
        <v>0.1</v>
      </c>
      <c r="K19" s="6">
        <v>1386</v>
      </c>
      <c r="L19" s="6">
        <v>913.43</v>
      </c>
      <c r="M19" s="5">
        <v>472.57</v>
      </c>
      <c r="N19" s="5" t="s">
        <v>66</v>
      </c>
      <c r="O19" s="2"/>
      <c r="P19" s="2"/>
    </row>
    <row r="20" spans="1:16">
      <c r="A20" s="5" t="s">
        <v>117</v>
      </c>
      <c r="B20" s="8">
        <v>45670</v>
      </c>
      <c r="C20" s="14">
        <f t="shared" si="0"/>
        <v>45658</v>
      </c>
      <c r="D20" s="5" t="s">
        <v>118</v>
      </c>
      <c r="E20" s="5" t="s">
        <v>15</v>
      </c>
      <c r="F20" s="5" t="s">
        <v>5</v>
      </c>
      <c r="G20" s="5" t="s">
        <v>10</v>
      </c>
      <c r="H20" s="5">
        <v>1</v>
      </c>
      <c r="I20" s="6">
        <v>3520</v>
      </c>
      <c r="J20" s="7">
        <v>0.2</v>
      </c>
      <c r="K20" s="6">
        <v>2816</v>
      </c>
      <c r="L20" s="6">
        <v>2212.25</v>
      </c>
      <c r="M20" s="5">
        <v>603.75</v>
      </c>
      <c r="N20" s="5" t="s">
        <v>63</v>
      </c>
      <c r="O20" s="2"/>
      <c r="P20" s="2"/>
    </row>
    <row r="21" spans="1:16">
      <c r="A21" s="5" t="s">
        <v>119</v>
      </c>
      <c r="B21" s="8">
        <v>45671</v>
      </c>
      <c r="C21" s="14">
        <f t="shared" si="0"/>
        <v>45658</v>
      </c>
      <c r="D21" s="5" t="s">
        <v>120</v>
      </c>
      <c r="E21" s="5" t="s">
        <v>121</v>
      </c>
      <c r="F21" s="5" t="s">
        <v>3</v>
      </c>
      <c r="G21" s="5" t="s">
        <v>11</v>
      </c>
      <c r="H21" s="5">
        <v>1</v>
      </c>
      <c r="I21" s="6">
        <v>1310</v>
      </c>
      <c r="J21" s="7">
        <v>0.05</v>
      </c>
      <c r="K21" s="6">
        <v>1244.5</v>
      </c>
      <c r="L21" s="6">
        <v>742.67</v>
      </c>
      <c r="M21" s="5">
        <v>501.83</v>
      </c>
      <c r="N21" s="5" t="s">
        <v>66</v>
      </c>
      <c r="O21" s="2"/>
      <c r="P21" s="2"/>
    </row>
    <row r="22" spans="1:16">
      <c r="A22" s="5" t="s">
        <v>122</v>
      </c>
      <c r="B22" s="8">
        <v>45673</v>
      </c>
      <c r="C22" s="14">
        <f t="shared" si="0"/>
        <v>45658</v>
      </c>
      <c r="D22" s="5" t="s">
        <v>51</v>
      </c>
      <c r="E22" s="5" t="s">
        <v>16</v>
      </c>
      <c r="F22" s="5" t="s">
        <v>3</v>
      </c>
      <c r="G22" s="5" t="s">
        <v>8</v>
      </c>
      <c r="H22" s="5">
        <v>2</v>
      </c>
      <c r="I22" s="6">
        <v>3850</v>
      </c>
      <c r="J22" s="7">
        <v>0.2</v>
      </c>
      <c r="K22" s="6">
        <v>6160</v>
      </c>
      <c r="L22" s="6">
        <v>5059.2299999999996</v>
      </c>
      <c r="M22" s="5">
        <v>1100.77</v>
      </c>
      <c r="N22" s="5" t="s">
        <v>66</v>
      </c>
      <c r="O22" s="2"/>
      <c r="P22" s="2"/>
    </row>
    <row r="23" spans="1:16">
      <c r="A23" s="5" t="s">
        <v>123</v>
      </c>
      <c r="B23" s="8">
        <v>45674</v>
      </c>
      <c r="C23" s="14">
        <f t="shared" si="0"/>
        <v>45658</v>
      </c>
      <c r="D23" s="5" t="s">
        <v>124</v>
      </c>
      <c r="E23" s="5" t="s">
        <v>125</v>
      </c>
      <c r="F23" s="5" t="s">
        <v>5</v>
      </c>
      <c r="G23" s="5" t="s">
        <v>8</v>
      </c>
      <c r="H23" s="5">
        <v>1</v>
      </c>
      <c r="I23" s="6">
        <v>1850</v>
      </c>
      <c r="J23" s="7">
        <v>0.1</v>
      </c>
      <c r="K23" s="6">
        <v>1665</v>
      </c>
      <c r="L23" s="6">
        <v>1064.6300000000001</v>
      </c>
      <c r="M23" s="5">
        <v>600.37</v>
      </c>
      <c r="N23" s="5" t="s">
        <v>63</v>
      </c>
      <c r="O23" s="2"/>
      <c r="P23" s="2"/>
    </row>
    <row r="24" spans="1:16">
      <c r="A24" s="5" t="s">
        <v>126</v>
      </c>
      <c r="B24" s="8">
        <v>45674</v>
      </c>
      <c r="C24" s="14">
        <f t="shared" si="0"/>
        <v>45658</v>
      </c>
      <c r="D24" s="5" t="s">
        <v>127</v>
      </c>
      <c r="E24" s="5" t="s">
        <v>14</v>
      </c>
      <c r="F24" s="5" t="s">
        <v>5</v>
      </c>
      <c r="G24" s="5" t="s">
        <v>10</v>
      </c>
      <c r="H24" s="5">
        <v>1</v>
      </c>
      <c r="I24" s="6">
        <v>5340</v>
      </c>
      <c r="J24" s="7">
        <v>0.15</v>
      </c>
      <c r="K24" s="6">
        <v>4539</v>
      </c>
      <c r="L24" s="6">
        <v>3553.2</v>
      </c>
      <c r="M24" s="5">
        <v>985.8</v>
      </c>
      <c r="N24" s="5" t="s">
        <v>66</v>
      </c>
      <c r="O24" s="2"/>
      <c r="P24" s="2"/>
    </row>
    <row r="25" spans="1:16">
      <c r="A25" s="5" t="s">
        <v>128</v>
      </c>
      <c r="B25" s="8">
        <v>45674</v>
      </c>
      <c r="C25" s="14">
        <f t="shared" si="0"/>
        <v>45658</v>
      </c>
      <c r="D25" s="5" t="s">
        <v>129</v>
      </c>
      <c r="E25" s="5" t="s">
        <v>130</v>
      </c>
      <c r="F25" s="5" t="s">
        <v>5</v>
      </c>
      <c r="G25" s="5" t="s">
        <v>10</v>
      </c>
      <c r="H25" s="5">
        <v>1</v>
      </c>
      <c r="I25" s="6">
        <v>2900</v>
      </c>
      <c r="J25" s="7">
        <v>0</v>
      </c>
      <c r="K25" s="6">
        <v>2900</v>
      </c>
      <c r="L25" s="6">
        <v>1914.11</v>
      </c>
      <c r="M25" s="5">
        <v>985.89</v>
      </c>
      <c r="N25" s="5" t="s">
        <v>66</v>
      </c>
      <c r="O25" s="2"/>
      <c r="P25" s="2"/>
    </row>
    <row r="26" spans="1:16">
      <c r="A26" s="5" t="s">
        <v>131</v>
      </c>
      <c r="B26" s="8">
        <v>45676</v>
      </c>
      <c r="C26" s="14">
        <f t="shared" si="0"/>
        <v>45658</v>
      </c>
      <c r="D26" s="5" t="s">
        <v>132</v>
      </c>
      <c r="E26" s="5" t="s">
        <v>15</v>
      </c>
      <c r="F26" s="5" t="s">
        <v>5</v>
      </c>
      <c r="G26" s="5" t="s">
        <v>9</v>
      </c>
      <c r="H26" s="5">
        <v>3</v>
      </c>
      <c r="I26" s="6">
        <v>3590</v>
      </c>
      <c r="J26" s="7">
        <v>0.1</v>
      </c>
      <c r="K26" s="6">
        <v>9693</v>
      </c>
      <c r="L26" s="6">
        <v>6449.6</v>
      </c>
      <c r="M26" s="5">
        <v>3243.4</v>
      </c>
      <c r="N26" s="5" t="s">
        <v>64</v>
      </c>
      <c r="O26" s="2"/>
      <c r="P26" s="2"/>
    </row>
    <row r="27" spans="1:16">
      <c r="A27" s="5" t="s">
        <v>133</v>
      </c>
      <c r="B27" s="8">
        <v>45677</v>
      </c>
      <c r="C27" s="14">
        <f t="shared" si="0"/>
        <v>45658</v>
      </c>
      <c r="D27" s="5" t="s">
        <v>134</v>
      </c>
      <c r="E27" s="5" t="s">
        <v>18</v>
      </c>
      <c r="F27" s="5" t="s">
        <v>3</v>
      </c>
      <c r="G27" s="5" t="s">
        <v>11</v>
      </c>
      <c r="H27" s="5">
        <v>2</v>
      </c>
      <c r="I27" s="6">
        <v>2420</v>
      </c>
      <c r="J27" s="7">
        <v>0.15</v>
      </c>
      <c r="K27" s="6">
        <v>4114</v>
      </c>
      <c r="L27" s="6">
        <v>3048.93</v>
      </c>
      <c r="M27" s="5">
        <v>1065.07</v>
      </c>
      <c r="N27" s="5" t="s">
        <v>62</v>
      </c>
      <c r="O27" s="2"/>
      <c r="P27" s="2"/>
    </row>
    <row r="28" spans="1:16">
      <c r="A28" s="5" t="s">
        <v>135</v>
      </c>
      <c r="B28" s="8">
        <v>45678</v>
      </c>
      <c r="C28" s="14">
        <f t="shared" si="0"/>
        <v>45658</v>
      </c>
      <c r="D28" s="5" t="s">
        <v>136</v>
      </c>
      <c r="E28" s="5" t="s">
        <v>14</v>
      </c>
      <c r="F28" s="5" t="s">
        <v>5</v>
      </c>
      <c r="G28" s="5" t="s">
        <v>11</v>
      </c>
      <c r="H28" s="5">
        <v>1</v>
      </c>
      <c r="I28" s="6">
        <v>5350</v>
      </c>
      <c r="J28" s="7">
        <v>0</v>
      </c>
      <c r="K28" s="6">
        <v>5350</v>
      </c>
      <c r="L28" s="6">
        <v>3603.9</v>
      </c>
      <c r="M28" s="5">
        <v>1746.1</v>
      </c>
      <c r="N28" s="5" t="s">
        <v>64</v>
      </c>
      <c r="O28" s="2"/>
      <c r="P28" s="2"/>
    </row>
    <row r="29" spans="1:16">
      <c r="A29" s="5" t="s">
        <v>137</v>
      </c>
      <c r="B29" s="8">
        <v>45680</v>
      </c>
      <c r="C29" s="14">
        <f t="shared" si="0"/>
        <v>45658</v>
      </c>
      <c r="D29" s="5" t="s">
        <v>59</v>
      </c>
      <c r="E29" s="5" t="s">
        <v>95</v>
      </c>
      <c r="F29" s="5" t="s">
        <v>4</v>
      </c>
      <c r="G29" s="5" t="s">
        <v>10</v>
      </c>
      <c r="H29" s="5">
        <v>1</v>
      </c>
      <c r="I29" s="6">
        <v>1940</v>
      </c>
      <c r="J29" s="7">
        <v>0.05</v>
      </c>
      <c r="K29" s="6">
        <v>1843</v>
      </c>
      <c r="L29" s="6">
        <v>1162.1500000000001</v>
      </c>
      <c r="M29" s="5">
        <v>680.85</v>
      </c>
      <c r="N29" s="5" t="s">
        <v>62</v>
      </c>
      <c r="O29" s="2"/>
      <c r="P29" s="2"/>
    </row>
    <row r="30" spans="1:16">
      <c r="A30" s="5" t="s">
        <v>138</v>
      </c>
      <c r="B30" s="8">
        <v>45682</v>
      </c>
      <c r="C30" s="14">
        <f t="shared" si="0"/>
        <v>45658</v>
      </c>
      <c r="D30" s="5" t="s">
        <v>139</v>
      </c>
      <c r="E30" s="5" t="s">
        <v>130</v>
      </c>
      <c r="F30" s="5" t="s">
        <v>5</v>
      </c>
      <c r="G30" s="5" t="s">
        <v>9</v>
      </c>
      <c r="H30" s="5">
        <v>1</v>
      </c>
      <c r="I30" s="6">
        <v>2880</v>
      </c>
      <c r="J30" s="7">
        <v>0.05</v>
      </c>
      <c r="K30" s="6">
        <v>2736</v>
      </c>
      <c r="L30" s="6">
        <v>1989.19</v>
      </c>
      <c r="M30" s="5">
        <v>746.81</v>
      </c>
      <c r="N30" s="5" t="s">
        <v>63</v>
      </c>
      <c r="O30" s="2"/>
      <c r="P30" s="2"/>
    </row>
    <row r="31" spans="1:16">
      <c r="A31" s="5" t="s">
        <v>140</v>
      </c>
      <c r="B31" s="8">
        <v>45682</v>
      </c>
      <c r="C31" s="14">
        <f t="shared" si="0"/>
        <v>45658</v>
      </c>
      <c r="D31" s="5" t="s">
        <v>141</v>
      </c>
      <c r="E31" s="5" t="s">
        <v>14</v>
      </c>
      <c r="F31" s="5" t="s">
        <v>5</v>
      </c>
      <c r="G31" s="5" t="s">
        <v>9</v>
      </c>
      <c r="H31" s="5">
        <v>2</v>
      </c>
      <c r="I31" s="6">
        <v>5400</v>
      </c>
      <c r="J31" s="7">
        <v>0.05</v>
      </c>
      <c r="K31" s="6">
        <v>10260</v>
      </c>
      <c r="L31" s="6">
        <v>7069.81</v>
      </c>
      <c r="M31" s="5">
        <v>3190.19</v>
      </c>
      <c r="N31" s="5" t="s">
        <v>62</v>
      </c>
      <c r="O31" s="2"/>
      <c r="P31" s="2"/>
    </row>
    <row r="32" spans="1:16">
      <c r="A32" s="5" t="s">
        <v>142</v>
      </c>
      <c r="B32" s="8">
        <v>45686</v>
      </c>
      <c r="C32" s="14">
        <f t="shared" si="0"/>
        <v>45658</v>
      </c>
      <c r="D32" s="5" t="s">
        <v>143</v>
      </c>
      <c r="E32" s="5" t="s">
        <v>121</v>
      </c>
      <c r="F32" s="5" t="s">
        <v>3</v>
      </c>
      <c r="G32" s="5" t="s">
        <v>11</v>
      </c>
      <c r="H32" s="5">
        <v>2</v>
      </c>
      <c r="I32" s="6">
        <v>1340</v>
      </c>
      <c r="J32" s="7">
        <v>0.2</v>
      </c>
      <c r="K32" s="6">
        <v>2144</v>
      </c>
      <c r="L32" s="6">
        <v>1534.5</v>
      </c>
      <c r="M32" s="5">
        <v>609.5</v>
      </c>
      <c r="N32" s="5" t="s">
        <v>66</v>
      </c>
      <c r="O32" s="2"/>
      <c r="P32" s="2"/>
    </row>
    <row r="33" spans="1:16">
      <c r="A33" s="5" t="s">
        <v>144</v>
      </c>
      <c r="B33" s="8">
        <v>45687</v>
      </c>
      <c r="C33" s="14">
        <f t="shared" si="0"/>
        <v>45658</v>
      </c>
      <c r="D33" s="5" t="s">
        <v>145</v>
      </c>
      <c r="E33" s="5" t="s">
        <v>125</v>
      </c>
      <c r="F33" s="5" t="s">
        <v>5</v>
      </c>
      <c r="G33" s="5" t="s">
        <v>9</v>
      </c>
      <c r="H33" s="5">
        <v>2</v>
      </c>
      <c r="I33" s="6">
        <v>1840</v>
      </c>
      <c r="J33" s="7">
        <v>0.1</v>
      </c>
      <c r="K33" s="6">
        <v>3312</v>
      </c>
      <c r="L33" s="6">
        <v>2128.25</v>
      </c>
      <c r="M33" s="5">
        <v>1183.75</v>
      </c>
      <c r="N33" s="5" t="s">
        <v>66</v>
      </c>
      <c r="O33" s="2"/>
      <c r="P33" s="2"/>
    </row>
    <row r="34" spans="1:16">
      <c r="A34" s="5" t="s">
        <v>146</v>
      </c>
      <c r="B34" s="8">
        <v>45687</v>
      </c>
      <c r="C34" s="14">
        <f t="shared" si="0"/>
        <v>45658</v>
      </c>
      <c r="D34" s="5" t="s">
        <v>102</v>
      </c>
      <c r="E34" s="5" t="s">
        <v>17</v>
      </c>
      <c r="F34" s="5" t="s">
        <v>4</v>
      </c>
      <c r="G34" s="5" t="s">
        <v>11</v>
      </c>
      <c r="H34" s="5">
        <v>1</v>
      </c>
      <c r="I34" s="6">
        <v>2940</v>
      </c>
      <c r="J34" s="7">
        <v>0.1</v>
      </c>
      <c r="K34" s="6">
        <v>2646</v>
      </c>
      <c r="L34" s="6">
        <v>1892.86</v>
      </c>
      <c r="M34" s="5">
        <v>753.14</v>
      </c>
      <c r="N34" s="5" t="s">
        <v>64</v>
      </c>
      <c r="O34" s="2"/>
      <c r="P34" s="2"/>
    </row>
    <row r="35" spans="1:16">
      <c r="A35" s="5" t="s">
        <v>147</v>
      </c>
      <c r="B35" s="8">
        <v>45690</v>
      </c>
      <c r="C35" s="14">
        <f t="shared" si="0"/>
        <v>45689</v>
      </c>
      <c r="D35" s="5" t="s">
        <v>148</v>
      </c>
      <c r="E35" s="5" t="s">
        <v>149</v>
      </c>
      <c r="F35" s="5" t="s">
        <v>2</v>
      </c>
      <c r="G35" s="5" t="s">
        <v>10</v>
      </c>
      <c r="H35" s="5">
        <v>1</v>
      </c>
      <c r="I35" s="6">
        <v>2320</v>
      </c>
      <c r="J35" s="7">
        <v>0.15</v>
      </c>
      <c r="K35" s="6">
        <v>1972</v>
      </c>
      <c r="L35" s="6">
        <v>1330.2</v>
      </c>
      <c r="M35" s="5">
        <v>641.79999999999995</v>
      </c>
      <c r="N35" s="5" t="s">
        <v>66</v>
      </c>
      <c r="O35" s="2"/>
      <c r="P35" s="2"/>
    </row>
    <row r="36" spans="1:16">
      <c r="A36" s="5" t="s">
        <v>150</v>
      </c>
      <c r="B36" s="8">
        <v>45690</v>
      </c>
      <c r="C36" s="14">
        <f t="shared" si="0"/>
        <v>45689</v>
      </c>
      <c r="D36" s="5" t="s">
        <v>151</v>
      </c>
      <c r="E36" s="5" t="s">
        <v>149</v>
      </c>
      <c r="F36" s="5" t="s">
        <v>2</v>
      </c>
      <c r="G36" s="5" t="s">
        <v>10</v>
      </c>
      <c r="H36" s="5">
        <v>2</v>
      </c>
      <c r="I36" s="6">
        <v>2370</v>
      </c>
      <c r="J36" s="7">
        <v>0.05</v>
      </c>
      <c r="K36" s="6">
        <v>4503</v>
      </c>
      <c r="L36" s="6">
        <v>2524.0100000000002</v>
      </c>
      <c r="M36" s="5">
        <v>1978.99</v>
      </c>
      <c r="N36" s="5" t="s">
        <v>64</v>
      </c>
      <c r="O36" s="2"/>
      <c r="P36" s="2"/>
    </row>
    <row r="37" spans="1:16">
      <c r="A37" s="5" t="s">
        <v>152</v>
      </c>
      <c r="B37" s="8">
        <v>45692</v>
      </c>
      <c r="C37" s="14">
        <f t="shared" si="0"/>
        <v>45689</v>
      </c>
      <c r="D37" s="5" t="s">
        <v>153</v>
      </c>
      <c r="E37" s="5" t="s">
        <v>90</v>
      </c>
      <c r="F37" s="5" t="s">
        <v>3</v>
      </c>
      <c r="G37" s="5" t="s">
        <v>10</v>
      </c>
      <c r="H37" s="5">
        <v>1</v>
      </c>
      <c r="I37" s="6">
        <v>1950</v>
      </c>
      <c r="J37" s="7">
        <v>0.15</v>
      </c>
      <c r="K37" s="6">
        <v>1657.5</v>
      </c>
      <c r="L37" s="6">
        <v>1233.18</v>
      </c>
      <c r="M37" s="5">
        <v>424.32</v>
      </c>
      <c r="N37" s="5" t="s">
        <v>63</v>
      </c>
      <c r="O37" s="2"/>
      <c r="P37" s="2"/>
    </row>
    <row r="38" spans="1:16">
      <c r="A38" s="5" t="s">
        <v>154</v>
      </c>
      <c r="B38" s="8">
        <v>45695</v>
      </c>
      <c r="C38" s="14">
        <f t="shared" si="0"/>
        <v>45689</v>
      </c>
      <c r="D38" s="5" t="s">
        <v>155</v>
      </c>
      <c r="E38" s="5" t="s">
        <v>15</v>
      </c>
      <c r="F38" s="5" t="s">
        <v>5</v>
      </c>
      <c r="G38" s="5" t="s">
        <v>10</v>
      </c>
      <c r="H38" s="5">
        <v>3</v>
      </c>
      <c r="I38" s="6">
        <v>3570</v>
      </c>
      <c r="J38" s="7">
        <v>0.2</v>
      </c>
      <c r="K38" s="6">
        <v>8568</v>
      </c>
      <c r="L38" s="6">
        <v>6687.34</v>
      </c>
      <c r="M38" s="5">
        <v>1880.66</v>
      </c>
      <c r="N38" s="5" t="s">
        <v>63</v>
      </c>
      <c r="O38" s="2"/>
      <c r="P38" s="2"/>
    </row>
    <row r="39" spans="1:16">
      <c r="A39" s="5" t="s">
        <v>156</v>
      </c>
      <c r="B39" s="8">
        <v>45696</v>
      </c>
      <c r="C39" s="14">
        <f t="shared" si="0"/>
        <v>45689</v>
      </c>
      <c r="D39" s="5" t="s">
        <v>157</v>
      </c>
      <c r="E39" s="5" t="s">
        <v>78</v>
      </c>
      <c r="F39" s="5" t="s">
        <v>2</v>
      </c>
      <c r="G39" s="5" t="s">
        <v>10</v>
      </c>
      <c r="H39" s="5">
        <v>2</v>
      </c>
      <c r="I39" s="6">
        <v>3400</v>
      </c>
      <c r="J39" s="7">
        <v>0.05</v>
      </c>
      <c r="K39" s="6">
        <v>6460</v>
      </c>
      <c r="L39" s="6">
        <v>4274.09</v>
      </c>
      <c r="M39" s="5">
        <v>2185.91</v>
      </c>
      <c r="N39" s="5" t="s">
        <v>62</v>
      </c>
      <c r="O39" s="2"/>
      <c r="P39" s="2"/>
    </row>
    <row r="40" spans="1:16">
      <c r="A40" s="5" t="s">
        <v>158</v>
      </c>
      <c r="B40" s="8">
        <v>45697</v>
      </c>
      <c r="C40" s="14">
        <f t="shared" si="0"/>
        <v>45689</v>
      </c>
      <c r="D40" s="5" t="s">
        <v>54</v>
      </c>
      <c r="E40" s="5" t="s">
        <v>90</v>
      </c>
      <c r="F40" s="5" t="s">
        <v>3</v>
      </c>
      <c r="G40" s="5" t="s">
        <v>10</v>
      </c>
      <c r="H40" s="5">
        <v>3</v>
      </c>
      <c r="I40" s="6">
        <v>2050</v>
      </c>
      <c r="J40" s="7">
        <v>0.05</v>
      </c>
      <c r="K40" s="6">
        <v>5842.5</v>
      </c>
      <c r="L40" s="6">
        <v>3603.38</v>
      </c>
      <c r="M40" s="5">
        <v>2239.12</v>
      </c>
      <c r="N40" s="5" t="s">
        <v>64</v>
      </c>
      <c r="O40" s="2"/>
      <c r="P40" s="2"/>
    </row>
    <row r="41" spans="1:16">
      <c r="A41" s="5" t="s">
        <v>159</v>
      </c>
      <c r="B41" s="8">
        <v>45697</v>
      </c>
      <c r="C41" s="14">
        <f t="shared" si="0"/>
        <v>45689</v>
      </c>
      <c r="D41" s="5" t="s">
        <v>160</v>
      </c>
      <c r="E41" s="5" t="s">
        <v>16</v>
      </c>
      <c r="F41" s="5" t="s">
        <v>3</v>
      </c>
      <c r="G41" s="5" t="s">
        <v>10</v>
      </c>
      <c r="H41" s="5">
        <v>2</v>
      </c>
      <c r="I41" s="6">
        <v>4050</v>
      </c>
      <c r="J41" s="7">
        <v>0.15</v>
      </c>
      <c r="K41" s="6">
        <v>6885</v>
      </c>
      <c r="L41" s="6">
        <v>5062.63</v>
      </c>
      <c r="M41" s="5">
        <v>1822.37</v>
      </c>
      <c r="N41" s="5" t="s">
        <v>66</v>
      </c>
      <c r="O41" s="2"/>
      <c r="P41" s="2"/>
    </row>
    <row r="42" spans="1:16">
      <c r="A42" s="5" t="s">
        <v>161</v>
      </c>
      <c r="B42" s="8">
        <v>45698</v>
      </c>
      <c r="C42" s="14">
        <f t="shared" si="0"/>
        <v>45689</v>
      </c>
      <c r="D42" s="5" t="s">
        <v>60</v>
      </c>
      <c r="E42" s="5" t="s">
        <v>18</v>
      </c>
      <c r="F42" s="5" t="s">
        <v>3</v>
      </c>
      <c r="G42" s="5" t="s">
        <v>10</v>
      </c>
      <c r="H42" s="5">
        <v>1</v>
      </c>
      <c r="I42" s="6">
        <v>2480</v>
      </c>
      <c r="J42" s="7">
        <v>0.05</v>
      </c>
      <c r="K42" s="6">
        <v>2356</v>
      </c>
      <c r="L42" s="6">
        <v>1559.56</v>
      </c>
      <c r="M42" s="5">
        <v>796.44</v>
      </c>
      <c r="N42" s="5" t="s">
        <v>63</v>
      </c>
      <c r="O42" s="2"/>
      <c r="P42" s="2"/>
    </row>
    <row r="43" spans="1:16">
      <c r="A43" s="5" t="s">
        <v>162</v>
      </c>
      <c r="B43" s="8">
        <v>45698</v>
      </c>
      <c r="C43" s="14">
        <f t="shared" si="0"/>
        <v>45689</v>
      </c>
      <c r="D43" s="5" t="s">
        <v>163</v>
      </c>
      <c r="E43" s="5" t="s">
        <v>130</v>
      </c>
      <c r="F43" s="5" t="s">
        <v>5</v>
      </c>
      <c r="G43" s="5" t="s">
        <v>8</v>
      </c>
      <c r="H43" s="5">
        <v>2</v>
      </c>
      <c r="I43" s="6">
        <v>3020</v>
      </c>
      <c r="J43" s="7">
        <v>0.05</v>
      </c>
      <c r="K43" s="6">
        <v>5738</v>
      </c>
      <c r="L43" s="6">
        <v>3785.37</v>
      </c>
      <c r="M43" s="5">
        <v>1952.63</v>
      </c>
      <c r="N43" s="5" t="s">
        <v>64</v>
      </c>
      <c r="O43" s="2"/>
      <c r="P43" s="2"/>
    </row>
    <row r="44" spans="1:16">
      <c r="A44" s="5" t="s">
        <v>164</v>
      </c>
      <c r="B44" s="8">
        <v>45699</v>
      </c>
      <c r="C44" s="14">
        <f t="shared" si="0"/>
        <v>45689</v>
      </c>
      <c r="D44" s="5" t="s">
        <v>165</v>
      </c>
      <c r="E44" s="5" t="s">
        <v>100</v>
      </c>
      <c r="F44" s="5" t="s">
        <v>4</v>
      </c>
      <c r="G44" s="5" t="s">
        <v>11</v>
      </c>
      <c r="H44" s="5">
        <v>1</v>
      </c>
      <c r="I44" s="6">
        <v>1560</v>
      </c>
      <c r="J44" s="7">
        <v>0</v>
      </c>
      <c r="K44" s="6">
        <v>1560</v>
      </c>
      <c r="L44" s="6">
        <v>824.77</v>
      </c>
      <c r="M44" s="5">
        <v>735.23</v>
      </c>
      <c r="N44" s="5" t="s">
        <v>66</v>
      </c>
      <c r="O44" s="2"/>
      <c r="P44" s="2"/>
    </row>
    <row r="45" spans="1:16">
      <c r="A45" s="5" t="s">
        <v>166</v>
      </c>
      <c r="B45" s="8">
        <v>45700</v>
      </c>
      <c r="C45" s="14">
        <f t="shared" si="0"/>
        <v>45689</v>
      </c>
      <c r="D45" s="5" t="s">
        <v>51</v>
      </c>
      <c r="E45" s="5" t="s">
        <v>14</v>
      </c>
      <c r="F45" s="5" t="s">
        <v>5</v>
      </c>
      <c r="G45" s="5" t="s">
        <v>10</v>
      </c>
      <c r="H45" s="5">
        <v>5</v>
      </c>
      <c r="I45" s="6">
        <v>5490</v>
      </c>
      <c r="J45" s="7">
        <v>0</v>
      </c>
      <c r="K45" s="6">
        <v>27450</v>
      </c>
      <c r="L45" s="6">
        <v>18092.41</v>
      </c>
      <c r="M45" s="5">
        <v>9357.59</v>
      </c>
      <c r="N45" s="5" t="s">
        <v>66</v>
      </c>
      <c r="O45" s="2"/>
      <c r="P45" s="2"/>
    </row>
    <row r="46" spans="1:16">
      <c r="A46" s="5" t="s">
        <v>167</v>
      </c>
      <c r="B46" s="8">
        <v>45701</v>
      </c>
      <c r="C46" s="14">
        <f t="shared" si="0"/>
        <v>45689</v>
      </c>
      <c r="D46" s="5" t="s">
        <v>168</v>
      </c>
      <c r="E46" s="5" t="s">
        <v>16</v>
      </c>
      <c r="F46" s="5" t="s">
        <v>3</v>
      </c>
      <c r="G46" s="5" t="s">
        <v>11</v>
      </c>
      <c r="H46" s="5">
        <v>1</v>
      </c>
      <c r="I46" s="6">
        <v>4100</v>
      </c>
      <c r="J46" s="7">
        <v>0.1</v>
      </c>
      <c r="K46" s="6">
        <v>3690</v>
      </c>
      <c r="L46" s="6">
        <v>2482.06</v>
      </c>
      <c r="M46" s="5">
        <v>1207.94</v>
      </c>
      <c r="N46" s="5" t="s">
        <v>63</v>
      </c>
      <c r="O46" s="2"/>
      <c r="P46" s="2"/>
    </row>
    <row r="47" spans="1:16">
      <c r="A47" s="5" t="s">
        <v>169</v>
      </c>
      <c r="B47" s="8">
        <v>45706</v>
      </c>
      <c r="C47" s="14">
        <f t="shared" si="0"/>
        <v>45689</v>
      </c>
      <c r="D47" s="5" t="s">
        <v>170</v>
      </c>
      <c r="E47" s="5" t="s">
        <v>149</v>
      </c>
      <c r="F47" s="5" t="s">
        <v>2</v>
      </c>
      <c r="G47" s="5" t="s">
        <v>11</v>
      </c>
      <c r="H47" s="5">
        <v>2</v>
      </c>
      <c r="I47" s="6">
        <v>2220</v>
      </c>
      <c r="J47" s="7">
        <v>0.1</v>
      </c>
      <c r="K47" s="6">
        <v>3996</v>
      </c>
      <c r="L47" s="6">
        <v>2663.01</v>
      </c>
      <c r="M47" s="5">
        <v>1332.99</v>
      </c>
      <c r="N47" s="5" t="s">
        <v>62</v>
      </c>
      <c r="O47" s="2"/>
      <c r="P47" s="2"/>
    </row>
    <row r="48" spans="1:16">
      <c r="A48" s="5" t="s">
        <v>171</v>
      </c>
      <c r="B48" s="8">
        <v>45706</v>
      </c>
      <c r="C48" s="14">
        <f t="shared" si="0"/>
        <v>45689</v>
      </c>
      <c r="D48" s="5" t="s">
        <v>80</v>
      </c>
      <c r="E48" s="5" t="s">
        <v>15</v>
      </c>
      <c r="F48" s="5" t="s">
        <v>5</v>
      </c>
      <c r="G48" s="5" t="s">
        <v>10</v>
      </c>
      <c r="H48" s="5">
        <v>1</v>
      </c>
      <c r="I48" s="6">
        <v>3450</v>
      </c>
      <c r="J48" s="7">
        <v>0</v>
      </c>
      <c r="K48" s="6">
        <v>3450</v>
      </c>
      <c r="L48" s="6">
        <v>2239.94</v>
      </c>
      <c r="M48" s="5">
        <v>1210.06</v>
      </c>
      <c r="N48" s="5" t="s">
        <v>66</v>
      </c>
      <c r="O48" s="2"/>
      <c r="P48" s="2"/>
    </row>
    <row r="49" spans="1:16">
      <c r="A49" s="5" t="s">
        <v>172</v>
      </c>
      <c r="B49" s="8">
        <v>45707</v>
      </c>
      <c r="C49" s="14">
        <f t="shared" si="0"/>
        <v>45689</v>
      </c>
      <c r="D49" s="5" t="s">
        <v>173</v>
      </c>
      <c r="E49" s="5" t="s">
        <v>90</v>
      </c>
      <c r="F49" s="5" t="s">
        <v>3</v>
      </c>
      <c r="G49" s="5" t="s">
        <v>10</v>
      </c>
      <c r="H49" s="5">
        <v>1</v>
      </c>
      <c r="I49" s="6">
        <v>1980</v>
      </c>
      <c r="J49" s="7">
        <v>0.15</v>
      </c>
      <c r="K49" s="6">
        <v>1683</v>
      </c>
      <c r="L49" s="6">
        <v>1178.0899999999999</v>
      </c>
      <c r="M49" s="5">
        <v>504.91</v>
      </c>
      <c r="N49" s="5" t="s">
        <v>64</v>
      </c>
      <c r="O49" s="2"/>
      <c r="P49" s="2"/>
    </row>
    <row r="50" spans="1:16">
      <c r="A50" s="5" t="s">
        <v>174</v>
      </c>
      <c r="B50" s="8">
        <v>45711</v>
      </c>
      <c r="C50" s="14">
        <f t="shared" si="0"/>
        <v>45689</v>
      </c>
      <c r="D50" s="5" t="s">
        <v>175</v>
      </c>
      <c r="E50" s="5" t="s">
        <v>14</v>
      </c>
      <c r="F50" s="5" t="s">
        <v>5</v>
      </c>
      <c r="G50" s="5" t="s">
        <v>8</v>
      </c>
      <c r="H50" s="5">
        <v>2</v>
      </c>
      <c r="I50" s="6">
        <v>5420</v>
      </c>
      <c r="J50" s="7">
        <v>0.15</v>
      </c>
      <c r="K50" s="6">
        <v>9214</v>
      </c>
      <c r="L50" s="6">
        <v>7116.08</v>
      </c>
      <c r="M50" s="5">
        <v>2097.92</v>
      </c>
      <c r="N50" s="5" t="s">
        <v>65</v>
      </c>
      <c r="O50" s="2"/>
      <c r="P50" s="2"/>
    </row>
    <row r="51" spans="1:16">
      <c r="A51" s="5" t="s">
        <v>176</v>
      </c>
      <c r="B51" s="8">
        <v>45712</v>
      </c>
      <c r="C51" s="14">
        <f t="shared" si="0"/>
        <v>45689</v>
      </c>
      <c r="D51" s="5" t="s">
        <v>148</v>
      </c>
      <c r="E51" s="5" t="s">
        <v>83</v>
      </c>
      <c r="F51" s="5" t="s">
        <v>4</v>
      </c>
      <c r="G51" s="5" t="s">
        <v>9</v>
      </c>
      <c r="H51" s="5">
        <v>3</v>
      </c>
      <c r="I51" s="6">
        <v>1540</v>
      </c>
      <c r="J51" s="7">
        <v>0.05</v>
      </c>
      <c r="K51" s="6">
        <v>4389</v>
      </c>
      <c r="L51" s="6">
        <v>2661.49</v>
      </c>
      <c r="M51" s="5">
        <v>1727.51</v>
      </c>
      <c r="N51" s="5" t="s">
        <v>62</v>
      </c>
      <c r="O51" s="2"/>
      <c r="P51" s="2"/>
    </row>
    <row r="52" spans="1:16">
      <c r="A52" s="5" t="s">
        <v>177</v>
      </c>
      <c r="B52" s="8">
        <v>45712</v>
      </c>
      <c r="C52" s="14">
        <f t="shared" si="0"/>
        <v>45689</v>
      </c>
      <c r="D52" s="5" t="s">
        <v>178</v>
      </c>
      <c r="E52" s="5" t="s">
        <v>15</v>
      </c>
      <c r="F52" s="5" t="s">
        <v>5</v>
      </c>
      <c r="G52" s="5" t="s">
        <v>9</v>
      </c>
      <c r="H52" s="5">
        <v>2</v>
      </c>
      <c r="I52" s="6">
        <v>3620</v>
      </c>
      <c r="J52" s="7">
        <v>0.15</v>
      </c>
      <c r="K52" s="6">
        <v>6154</v>
      </c>
      <c r="L52" s="6">
        <v>4329.95</v>
      </c>
      <c r="M52" s="5">
        <v>1824.05</v>
      </c>
      <c r="N52" s="5" t="s">
        <v>66</v>
      </c>
      <c r="O52" s="2"/>
      <c r="P52" s="2"/>
    </row>
    <row r="53" spans="1:16">
      <c r="A53" s="5" t="s">
        <v>179</v>
      </c>
      <c r="B53" s="8">
        <v>45717</v>
      </c>
      <c r="C53" s="14">
        <f t="shared" si="0"/>
        <v>45717</v>
      </c>
      <c r="D53" s="5" t="s">
        <v>180</v>
      </c>
      <c r="E53" s="5" t="s">
        <v>90</v>
      </c>
      <c r="F53" s="5" t="s">
        <v>3</v>
      </c>
      <c r="G53" s="5" t="s">
        <v>9</v>
      </c>
      <c r="H53" s="5">
        <v>3</v>
      </c>
      <c r="I53" s="6">
        <v>1990</v>
      </c>
      <c r="J53" s="7">
        <v>0</v>
      </c>
      <c r="K53" s="6">
        <v>5970</v>
      </c>
      <c r="L53" s="6">
        <v>3525.04</v>
      </c>
      <c r="M53" s="5">
        <v>2444.96</v>
      </c>
      <c r="N53" s="5" t="s">
        <v>62</v>
      </c>
      <c r="O53" s="2"/>
      <c r="P53" s="2"/>
    </row>
    <row r="54" spans="1:16">
      <c r="A54" s="5" t="s">
        <v>181</v>
      </c>
      <c r="B54" s="8">
        <v>45717</v>
      </c>
      <c r="C54" s="14">
        <f t="shared" si="0"/>
        <v>45717</v>
      </c>
      <c r="D54" s="5" t="s">
        <v>182</v>
      </c>
      <c r="E54" s="5" t="s">
        <v>16</v>
      </c>
      <c r="F54" s="5" t="s">
        <v>3</v>
      </c>
      <c r="G54" s="5" t="s">
        <v>11</v>
      </c>
      <c r="H54" s="5">
        <v>2</v>
      </c>
      <c r="I54" s="6">
        <v>3910</v>
      </c>
      <c r="J54" s="7">
        <v>0.05</v>
      </c>
      <c r="K54" s="6">
        <v>7429</v>
      </c>
      <c r="L54" s="6">
        <v>4995.38</v>
      </c>
      <c r="M54" s="5">
        <v>2433.62</v>
      </c>
      <c r="N54" s="5" t="s">
        <v>63</v>
      </c>
      <c r="O54" s="2"/>
      <c r="P54" s="2"/>
    </row>
    <row r="55" spans="1:16">
      <c r="A55" s="5" t="s">
        <v>183</v>
      </c>
      <c r="B55" s="8">
        <v>45719</v>
      </c>
      <c r="C55" s="14">
        <f t="shared" si="0"/>
        <v>45717</v>
      </c>
      <c r="D55" s="5" t="s">
        <v>57</v>
      </c>
      <c r="E55" s="5" t="s">
        <v>78</v>
      </c>
      <c r="F55" s="5" t="s">
        <v>2</v>
      </c>
      <c r="G55" s="5" t="s">
        <v>9</v>
      </c>
      <c r="H55" s="5">
        <v>5</v>
      </c>
      <c r="I55" s="6">
        <v>3620</v>
      </c>
      <c r="J55" s="7">
        <v>0.05</v>
      </c>
      <c r="K55" s="6">
        <v>17195</v>
      </c>
      <c r="L55" s="6">
        <v>10594.28</v>
      </c>
      <c r="M55" s="5">
        <v>6600.72</v>
      </c>
      <c r="N55" s="5" t="s">
        <v>66</v>
      </c>
      <c r="O55" s="2"/>
      <c r="P55" s="2"/>
    </row>
    <row r="56" spans="1:16">
      <c r="A56" s="5" t="s">
        <v>184</v>
      </c>
      <c r="B56" s="8">
        <v>45719</v>
      </c>
      <c r="C56" s="14">
        <f t="shared" si="0"/>
        <v>45717</v>
      </c>
      <c r="D56" s="5" t="s">
        <v>185</v>
      </c>
      <c r="E56" s="5" t="s">
        <v>15</v>
      </c>
      <c r="F56" s="5" t="s">
        <v>5</v>
      </c>
      <c r="G56" s="5" t="s">
        <v>8</v>
      </c>
      <c r="H56" s="5">
        <v>2</v>
      </c>
      <c r="I56" s="6">
        <v>3390</v>
      </c>
      <c r="J56" s="7">
        <v>0</v>
      </c>
      <c r="K56" s="6">
        <v>6780</v>
      </c>
      <c r="L56" s="6">
        <v>4280.8500000000004</v>
      </c>
      <c r="M56" s="5">
        <v>2499.15</v>
      </c>
      <c r="N56" s="5" t="s">
        <v>66</v>
      </c>
      <c r="O56" s="2"/>
      <c r="P56" s="2"/>
    </row>
    <row r="57" spans="1:16">
      <c r="A57" s="5" t="s">
        <v>186</v>
      </c>
      <c r="B57" s="8">
        <v>45721</v>
      </c>
      <c r="C57" s="14">
        <f t="shared" si="0"/>
        <v>45717</v>
      </c>
      <c r="D57" s="5" t="s">
        <v>187</v>
      </c>
      <c r="E57" s="5" t="s">
        <v>95</v>
      </c>
      <c r="F57" s="5" t="s">
        <v>4</v>
      </c>
      <c r="G57" s="5" t="s">
        <v>11</v>
      </c>
      <c r="H57" s="5">
        <v>1</v>
      </c>
      <c r="I57" s="6">
        <v>1930</v>
      </c>
      <c r="J57" s="7">
        <v>0.1</v>
      </c>
      <c r="K57" s="6">
        <v>1737</v>
      </c>
      <c r="L57" s="6">
        <v>1166.96</v>
      </c>
      <c r="M57" s="5">
        <v>570.04</v>
      </c>
      <c r="N57" s="5" t="s">
        <v>63</v>
      </c>
      <c r="O57" s="2"/>
      <c r="P57" s="2"/>
    </row>
    <row r="58" spans="1:16">
      <c r="A58" s="5" t="s">
        <v>188</v>
      </c>
      <c r="B58" s="8">
        <v>45721</v>
      </c>
      <c r="C58" s="14">
        <f t="shared" si="0"/>
        <v>45717</v>
      </c>
      <c r="D58" s="5" t="s">
        <v>189</v>
      </c>
      <c r="E58" s="5" t="s">
        <v>83</v>
      </c>
      <c r="F58" s="5" t="s">
        <v>4</v>
      </c>
      <c r="G58" s="5" t="s">
        <v>9</v>
      </c>
      <c r="H58" s="5">
        <v>1</v>
      </c>
      <c r="I58" s="6">
        <v>1610</v>
      </c>
      <c r="J58" s="7">
        <v>0</v>
      </c>
      <c r="K58" s="6">
        <v>1610</v>
      </c>
      <c r="L58" s="6">
        <v>897.46</v>
      </c>
      <c r="M58" s="5">
        <v>712.54</v>
      </c>
      <c r="N58" s="5" t="s">
        <v>63</v>
      </c>
      <c r="O58" s="2"/>
      <c r="P58" s="2"/>
    </row>
    <row r="59" spans="1:16">
      <c r="A59" s="5" t="s">
        <v>190</v>
      </c>
      <c r="B59" s="8">
        <v>45721</v>
      </c>
      <c r="C59" s="14">
        <f t="shared" si="0"/>
        <v>45717</v>
      </c>
      <c r="D59" s="5" t="s">
        <v>191</v>
      </c>
      <c r="E59" s="5" t="s">
        <v>14</v>
      </c>
      <c r="F59" s="5" t="s">
        <v>5</v>
      </c>
      <c r="G59" s="5" t="s">
        <v>8</v>
      </c>
      <c r="H59" s="5">
        <v>2</v>
      </c>
      <c r="I59" s="6">
        <v>5460</v>
      </c>
      <c r="J59" s="7">
        <v>0.15</v>
      </c>
      <c r="K59" s="6">
        <v>9282</v>
      </c>
      <c r="L59" s="6">
        <v>7056.63</v>
      </c>
      <c r="M59" s="5">
        <v>2225.37</v>
      </c>
      <c r="N59" s="5" t="s">
        <v>66</v>
      </c>
      <c r="O59" s="2"/>
      <c r="P59" s="2"/>
    </row>
    <row r="60" spans="1:16">
      <c r="A60" s="5" t="s">
        <v>192</v>
      </c>
      <c r="B60" s="8">
        <v>45721</v>
      </c>
      <c r="C60" s="14">
        <f t="shared" si="0"/>
        <v>45717</v>
      </c>
      <c r="D60" s="5" t="s">
        <v>87</v>
      </c>
      <c r="E60" s="5" t="s">
        <v>18</v>
      </c>
      <c r="F60" s="5" t="s">
        <v>3</v>
      </c>
      <c r="G60" s="5" t="s">
        <v>10</v>
      </c>
      <c r="H60" s="5">
        <v>2</v>
      </c>
      <c r="I60" s="6">
        <v>2470</v>
      </c>
      <c r="J60" s="7">
        <v>0.15</v>
      </c>
      <c r="K60" s="6">
        <v>4199</v>
      </c>
      <c r="L60" s="6">
        <v>3082.84</v>
      </c>
      <c r="M60" s="5">
        <v>1116.1600000000001</v>
      </c>
      <c r="N60" s="5" t="s">
        <v>62</v>
      </c>
      <c r="O60" s="2"/>
      <c r="P60" s="2"/>
    </row>
    <row r="61" spans="1:16">
      <c r="A61" s="5" t="s">
        <v>193</v>
      </c>
      <c r="B61" s="8">
        <v>45722</v>
      </c>
      <c r="C61" s="14">
        <f t="shared" si="0"/>
        <v>45717</v>
      </c>
      <c r="D61" s="5" t="s">
        <v>194</v>
      </c>
      <c r="E61" s="5" t="s">
        <v>17</v>
      </c>
      <c r="F61" s="5" t="s">
        <v>4</v>
      </c>
      <c r="G61" s="5" t="s">
        <v>11</v>
      </c>
      <c r="H61" s="5">
        <v>2</v>
      </c>
      <c r="I61" s="6">
        <v>2990</v>
      </c>
      <c r="J61" s="7">
        <v>0.1</v>
      </c>
      <c r="K61" s="6">
        <v>5382</v>
      </c>
      <c r="L61" s="6">
        <v>3641.73</v>
      </c>
      <c r="M61" s="5">
        <v>1740.27</v>
      </c>
      <c r="N61" s="5" t="s">
        <v>63</v>
      </c>
      <c r="O61" s="2"/>
      <c r="P61" s="2"/>
    </row>
    <row r="62" spans="1:16">
      <c r="A62" s="5" t="s">
        <v>195</v>
      </c>
      <c r="B62" s="8">
        <v>45722</v>
      </c>
      <c r="C62" s="14">
        <f t="shared" si="0"/>
        <v>45717</v>
      </c>
      <c r="D62" s="5" t="s">
        <v>196</v>
      </c>
      <c r="E62" s="5" t="s">
        <v>90</v>
      </c>
      <c r="F62" s="5" t="s">
        <v>3</v>
      </c>
      <c r="G62" s="5" t="s">
        <v>11</v>
      </c>
      <c r="H62" s="5">
        <v>1</v>
      </c>
      <c r="I62" s="6">
        <v>2070</v>
      </c>
      <c r="J62" s="7">
        <v>0</v>
      </c>
      <c r="K62" s="6">
        <v>2070</v>
      </c>
      <c r="L62" s="6">
        <v>1223.18</v>
      </c>
      <c r="M62" s="5">
        <v>846.82</v>
      </c>
      <c r="N62" s="5" t="s">
        <v>64</v>
      </c>
      <c r="O62" s="2"/>
      <c r="P62" s="2"/>
    </row>
    <row r="63" spans="1:16">
      <c r="A63" s="5" t="s">
        <v>197</v>
      </c>
      <c r="B63" s="8">
        <v>45725</v>
      </c>
      <c r="C63" s="14">
        <f t="shared" si="0"/>
        <v>45717</v>
      </c>
      <c r="D63" s="5" t="s">
        <v>198</v>
      </c>
      <c r="E63" s="5" t="s">
        <v>100</v>
      </c>
      <c r="F63" s="5" t="s">
        <v>4</v>
      </c>
      <c r="G63" s="5" t="s">
        <v>8</v>
      </c>
      <c r="H63" s="5">
        <v>1</v>
      </c>
      <c r="I63" s="6">
        <v>1560</v>
      </c>
      <c r="J63" s="7">
        <v>0.05</v>
      </c>
      <c r="K63" s="6">
        <v>1482</v>
      </c>
      <c r="L63" s="6">
        <v>856.43</v>
      </c>
      <c r="M63" s="5">
        <v>625.57000000000005</v>
      </c>
      <c r="N63" s="5" t="s">
        <v>62</v>
      </c>
      <c r="O63" s="2"/>
      <c r="P63" s="2"/>
    </row>
    <row r="64" spans="1:16">
      <c r="A64" s="5" t="s">
        <v>199</v>
      </c>
      <c r="B64" s="8">
        <v>45726</v>
      </c>
      <c r="C64" s="14">
        <f t="shared" si="0"/>
        <v>45717</v>
      </c>
      <c r="D64" s="5" t="s">
        <v>55</v>
      </c>
      <c r="E64" s="5" t="s">
        <v>83</v>
      </c>
      <c r="F64" s="5" t="s">
        <v>4</v>
      </c>
      <c r="G64" s="5" t="s">
        <v>10</v>
      </c>
      <c r="H64" s="5">
        <v>1</v>
      </c>
      <c r="I64" s="6">
        <v>1620</v>
      </c>
      <c r="J64" s="7">
        <v>0.1</v>
      </c>
      <c r="K64" s="6">
        <v>1458</v>
      </c>
      <c r="L64" s="6">
        <v>890.95</v>
      </c>
      <c r="M64" s="5">
        <v>567.04999999999995</v>
      </c>
      <c r="N64" s="5" t="s">
        <v>64</v>
      </c>
      <c r="O64" s="2"/>
      <c r="P64" s="2"/>
    </row>
    <row r="65" spans="1:16">
      <c r="A65" s="5" t="s">
        <v>200</v>
      </c>
      <c r="B65" s="8">
        <v>45726</v>
      </c>
      <c r="C65" s="14">
        <f t="shared" si="0"/>
        <v>45717</v>
      </c>
      <c r="D65" s="5" t="s">
        <v>201</v>
      </c>
      <c r="E65" s="5" t="s">
        <v>95</v>
      </c>
      <c r="F65" s="5" t="s">
        <v>4</v>
      </c>
      <c r="G65" s="5" t="s">
        <v>10</v>
      </c>
      <c r="H65" s="5">
        <v>2</v>
      </c>
      <c r="I65" s="6">
        <v>1960</v>
      </c>
      <c r="J65" s="7">
        <v>0.1</v>
      </c>
      <c r="K65" s="6">
        <v>3528</v>
      </c>
      <c r="L65" s="6">
        <v>2333.4699999999998</v>
      </c>
      <c r="M65" s="5">
        <v>1194.53</v>
      </c>
      <c r="N65" s="5" t="s">
        <v>62</v>
      </c>
      <c r="O65" s="2"/>
      <c r="P65" s="2"/>
    </row>
    <row r="66" spans="1:16">
      <c r="A66" s="5" t="s">
        <v>202</v>
      </c>
      <c r="B66" s="8">
        <v>45726</v>
      </c>
      <c r="C66" s="14">
        <f t="shared" ref="C66:C129" si="1">DATE(YEAR(B66),MONTH(B66),1)</f>
        <v>45717</v>
      </c>
      <c r="D66" s="5" t="s">
        <v>203</v>
      </c>
      <c r="E66" s="5" t="s">
        <v>14</v>
      </c>
      <c r="F66" s="5" t="s">
        <v>5</v>
      </c>
      <c r="G66" s="5" t="s">
        <v>11</v>
      </c>
      <c r="H66" s="5">
        <v>2</v>
      </c>
      <c r="I66" s="6">
        <v>5690</v>
      </c>
      <c r="J66" s="7">
        <v>0.1</v>
      </c>
      <c r="K66" s="6">
        <v>10242</v>
      </c>
      <c r="L66" s="6">
        <v>7414.68</v>
      </c>
      <c r="M66" s="5">
        <v>2827.32</v>
      </c>
      <c r="N66" s="5" t="s">
        <v>63</v>
      </c>
      <c r="O66" s="2"/>
      <c r="P66" s="2"/>
    </row>
    <row r="67" spans="1:16">
      <c r="A67" s="5" t="s">
        <v>204</v>
      </c>
      <c r="B67" s="8">
        <v>45727</v>
      </c>
      <c r="C67" s="14">
        <f t="shared" si="1"/>
        <v>45717</v>
      </c>
      <c r="D67" s="5" t="s">
        <v>124</v>
      </c>
      <c r="E67" s="5" t="s">
        <v>130</v>
      </c>
      <c r="F67" s="5" t="s">
        <v>5</v>
      </c>
      <c r="G67" s="5" t="s">
        <v>11</v>
      </c>
      <c r="H67" s="5">
        <v>2</v>
      </c>
      <c r="I67" s="6">
        <v>3070</v>
      </c>
      <c r="J67" s="7">
        <v>0</v>
      </c>
      <c r="K67" s="6">
        <v>6140</v>
      </c>
      <c r="L67" s="6">
        <v>3837.69</v>
      </c>
      <c r="M67" s="5">
        <v>2302.31</v>
      </c>
      <c r="N67" s="5" t="s">
        <v>66</v>
      </c>
      <c r="O67" s="2"/>
      <c r="P67" s="2"/>
    </row>
    <row r="68" spans="1:16">
      <c r="A68" s="5" t="s">
        <v>205</v>
      </c>
      <c r="B68" s="8">
        <v>45730</v>
      </c>
      <c r="C68" s="14">
        <f t="shared" si="1"/>
        <v>45717</v>
      </c>
      <c r="D68" s="5" t="s">
        <v>206</v>
      </c>
      <c r="E68" s="5" t="s">
        <v>16</v>
      </c>
      <c r="F68" s="5" t="s">
        <v>3</v>
      </c>
      <c r="G68" s="5" t="s">
        <v>10</v>
      </c>
      <c r="H68" s="5">
        <v>2</v>
      </c>
      <c r="I68" s="6">
        <v>4070</v>
      </c>
      <c r="J68" s="7">
        <v>0.15</v>
      </c>
      <c r="K68" s="6">
        <v>6919</v>
      </c>
      <c r="L68" s="6">
        <v>5090.5200000000004</v>
      </c>
      <c r="M68" s="5">
        <v>1828.48</v>
      </c>
      <c r="N68" s="5" t="s">
        <v>63</v>
      </c>
      <c r="O68" s="2"/>
      <c r="P68" s="2"/>
    </row>
    <row r="69" spans="1:16">
      <c r="A69" s="5" t="s">
        <v>207</v>
      </c>
      <c r="B69" s="8">
        <v>45738</v>
      </c>
      <c r="C69" s="14">
        <f t="shared" si="1"/>
        <v>45717</v>
      </c>
      <c r="D69" s="5" t="s">
        <v>208</v>
      </c>
      <c r="E69" s="5" t="s">
        <v>121</v>
      </c>
      <c r="F69" s="5" t="s">
        <v>3</v>
      </c>
      <c r="G69" s="5" t="s">
        <v>10</v>
      </c>
      <c r="H69" s="5">
        <v>1</v>
      </c>
      <c r="I69" s="6">
        <v>1280</v>
      </c>
      <c r="J69" s="7">
        <v>0</v>
      </c>
      <c r="K69" s="6">
        <v>1280</v>
      </c>
      <c r="L69" s="6">
        <v>766.13</v>
      </c>
      <c r="M69" s="5">
        <v>513.87</v>
      </c>
      <c r="N69" s="5" t="s">
        <v>65</v>
      </c>
      <c r="O69" s="2"/>
      <c r="P69" s="2"/>
    </row>
    <row r="70" spans="1:16">
      <c r="A70" s="5" t="s">
        <v>209</v>
      </c>
      <c r="B70" s="8">
        <v>45739</v>
      </c>
      <c r="C70" s="14">
        <f t="shared" si="1"/>
        <v>45717</v>
      </c>
      <c r="D70" s="5" t="s">
        <v>210</v>
      </c>
      <c r="E70" s="5" t="s">
        <v>14</v>
      </c>
      <c r="F70" s="5" t="s">
        <v>5</v>
      </c>
      <c r="G70" s="5" t="s">
        <v>10</v>
      </c>
      <c r="H70" s="5">
        <v>1</v>
      </c>
      <c r="I70" s="6">
        <v>5410</v>
      </c>
      <c r="J70" s="7">
        <v>0.05</v>
      </c>
      <c r="K70" s="6">
        <v>5139.5</v>
      </c>
      <c r="L70" s="6">
        <v>3696.56</v>
      </c>
      <c r="M70" s="5">
        <v>1442.94</v>
      </c>
      <c r="N70" s="5" t="s">
        <v>64</v>
      </c>
      <c r="O70" s="2"/>
      <c r="P70" s="2"/>
    </row>
    <row r="71" spans="1:16">
      <c r="A71" s="5" t="s">
        <v>211</v>
      </c>
      <c r="B71" s="8">
        <v>45739</v>
      </c>
      <c r="C71" s="14">
        <f t="shared" si="1"/>
        <v>45717</v>
      </c>
      <c r="D71" s="5" t="s">
        <v>212</v>
      </c>
      <c r="E71" s="5" t="s">
        <v>17</v>
      </c>
      <c r="F71" s="5" t="s">
        <v>4</v>
      </c>
      <c r="G71" s="5" t="s">
        <v>11</v>
      </c>
      <c r="H71" s="5">
        <v>2</v>
      </c>
      <c r="I71" s="6">
        <v>2990</v>
      </c>
      <c r="J71" s="7">
        <v>0.15</v>
      </c>
      <c r="K71" s="6">
        <v>5083</v>
      </c>
      <c r="L71" s="6">
        <v>3810.14</v>
      </c>
      <c r="M71" s="5">
        <v>1272.8599999999999</v>
      </c>
      <c r="N71" s="5" t="s">
        <v>63</v>
      </c>
      <c r="O71" s="2"/>
      <c r="P71" s="2"/>
    </row>
    <row r="72" spans="1:16">
      <c r="A72" s="5" t="s">
        <v>213</v>
      </c>
      <c r="B72" s="8">
        <v>45739</v>
      </c>
      <c r="C72" s="14">
        <f t="shared" si="1"/>
        <v>45717</v>
      </c>
      <c r="D72" s="5" t="s">
        <v>214</v>
      </c>
      <c r="E72" s="5" t="s">
        <v>17</v>
      </c>
      <c r="F72" s="5" t="s">
        <v>4</v>
      </c>
      <c r="G72" s="5" t="s">
        <v>11</v>
      </c>
      <c r="H72" s="5">
        <v>2</v>
      </c>
      <c r="I72" s="6">
        <v>3010</v>
      </c>
      <c r="J72" s="7">
        <v>0.25</v>
      </c>
      <c r="K72" s="6">
        <v>4515</v>
      </c>
      <c r="L72" s="6">
        <v>3660.3</v>
      </c>
      <c r="M72" s="5">
        <v>854.7</v>
      </c>
      <c r="N72" s="5" t="s">
        <v>62</v>
      </c>
      <c r="O72" s="2"/>
      <c r="P72" s="2"/>
    </row>
    <row r="73" spans="1:16">
      <c r="A73" s="5" t="s">
        <v>215</v>
      </c>
      <c r="B73" s="8">
        <v>45741</v>
      </c>
      <c r="C73" s="14">
        <f t="shared" si="1"/>
        <v>45717</v>
      </c>
      <c r="D73" s="5" t="s">
        <v>216</v>
      </c>
      <c r="E73" s="5" t="s">
        <v>16</v>
      </c>
      <c r="F73" s="5" t="s">
        <v>3</v>
      </c>
      <c r="G73" s="5" t="s">
        <v>9</v>
      </c>
      <c r="H73" s="5">
        <v>4</v>
      </c>
      <c r="I73" s="6">
        <v>3980</v>
      </c>
      <c r="J73" s="7">
        <v>0</v>
      </c>
      <c r="K73" s="6">
        <v>15920</v>
      </c>
      <c r="L73" s="6">
        <v>10266.17</v>
      </c>
      <c r="M73" s="5">
        <v>5653.83</v>
      </c>
      <c r="N73" s="5" t="s">
        <v>66</v>
      </c>
      <c r="O73" s="2"/>
      <c r="P73" s="2"/>
    </row>
    <row r="74" spans="1:16">
      <c r="A74" s="5" t="s">
        <v>217</v>
      </c>
      <c r="B74" s="8">
        <v>45742</v>
      </c>
      <c r="C74" s="14">
        <f t="shared" si="1"/>
        <v>45717</v>
      </c>
      <c r="D74" s="5" t="s">
        <v>218</v>
      </c>
      <c r="E74" s="5" t="s">
        <v>78</v>
      </c>
      <c r="F74" s="5" t="s">
        <v>2</v>
      </c>
      <c r="G74" s="5" t="s">
        <v>10</v>
      </c>
      <c r="H74" s="5">
        <v>1</v>
      </c>
      <c r="I74" s="6">
        <v>3630</v>
      </c>
      <c r="J74" s="7">
        <v>0.15</v>
      </c>
      <c r="K74" s="6">
        <v>3085.5</v>
      </c>
      <c r="L74" s="6">
        <v>2065.2600000000002</v>
      </c>
      <c r="M74" s="5">
        <v>1020.24</v>
      </c>
      <c r="N74" s="5" t="s">
        <v>66</v>
      </c>
      <c r="O74" s="2"/>
      <c r="P74" s="2"/>
    </row>
    <row r="75" spans="1:16">
      <c r="A75" s="5" t="s">
        <v>219</v>
      </c>
      <c r="B75" s="8">
        <v>45742</v>
      </c>
      <c r="C75" s="14">
        <f t="shared" si="1"/>
        <v>45717</v>
      </c>
      <c r="D75" s="5" t="s">
        <v>220</v>
      </c>
      <c r="E75" s="5" t="s">
        <v>221</v>
      </c>
      <c r="F75" s="5" t="s">
        <v>2</v>
      </c>
      <c r="G75" s="5" t="s">
        <v>8</v>
      </c>
      <c r="H75" s="5">
        <v>1</v>
      </c>
      <c r="I75" s="6">
        <v>1900</v>
      </c>
      <c r="J75" s="7">
        <v>0.1</v>
      </c>
      <c r="K75" s="6">
        <v>1710</v>
      </c>
      <c r="L75" s="6">
        <v>1044.8599999999999</v>
      </c>
      <c r="M75" s="5">
        <v>665.14</v>
      </c>
      <c r="N75" s="5" t="s">
        <v>66</v>
      </c>
      <c r="O75" s="2"/>
      <c r="P75" s="2"/>
    </row>
    <row r="76" spans="1:16">
      <c r="A76" s="5" t="s">
        <v>222</v>
      </c>
      <c r="B76" s="8">
        <v>45745</v>
      </c>
      <c r="C76" s="14">
        <f t="shared" si="1"/>
        <v>45717</v>
      </c>
      <c r="D76" s="5" t="s">
        <v>223</v>
      </c>
      <c r="E76" s="5" t="s">
        <v>121</v>
      </c>
      <c r="F76" s="5" t="s">
        <v>3</v>
      </c>
      <c r="G76" s="5" t="s">
        <v>9</v>
      </c>
      <c r="H76" s="5">
        <v>3</v>
      </c>
      <c r="I76" s="6">
        <v>1320</v>
      </c>
      <c r="J76" s="7">
        <v>0.1</v>
      </c>
      <c r="K76" s="6">
        <v>3564</v>
      </c>
      <c r="L76" s="6">
        <v>2239.64</v>
      </c>
      <c r="M76" s="5">
        <v>1324.36</v>
      </c>
      <c r="N76" s="5" t="s">
        <v>62</v>
      </c>
      <c r="O76" s="2"/>
      <c r="P76" s="2"/>
    </row>
    <row r="77" spans="1:16">
      <c r="A77" s="5" t="s">
        <v>224</v>
      </c>
      <c r="B77" s="8">
        <v>45747</v>
      </c>
      <c r="C77" s="14">
        <f t="shared" si="1"/>
        <v>45717</v>
      </c>
      <c r="D77" s="5" t="s">
        <v>225</v>
      </c>
      <c r="E77" s="5" t="s">
        <v>90</v>
      </c>
      <c r="F77" s="5" t="s">
        <v>3</v>
      </c>
      <c r="G77" s="5" t="s">
        <v>9</v>
      </c>
      <c r="H77" s="5">
        <v>1</v>
      </c>
      <c r="I77" s="6">
        <v>1940</v>
      </c>
      <c r="J77" s="7">
        <v>0</v>
      </c>
      <c r="K77" s="6">
        <v>1940</v>
      </c>
      <c r="L77" s="6">
        <v>1209.82</v>
      </c>
      <c r="M77" s="5">
        <v>730.18</v>
      </c>
      <c r="N77" s="5" t="s">
        <v>62</v>
      </c>
      <c r="O77" s="2"/>
      <c r="P77" s="2"/>
    </row>
    <row r="78" spans="1:16">
      <c r="A78" s="5" t="s">
        <v>226</v>
      </c>
      <c r="B78" s="8">
        <v>45750</v>
      </c>
      <c r="C78" s="14">
        <f t="shared" si="1"/>
        <v>45748</v>
      </c>
      <c r="D78" s="5" t="s">
        <v>227</v>
      </c>
      <c r="E78" s="5" t="s">
        <v>83</v>
      </c>
      <c r="F78" s="5" t="s">
        <v>4</v>
      </c>
      <c r="G78" s="5" t="s">
        <v>11</v>
      </c>
      <c r="H78" s="5">
        <v>2</v>
      </c>
      <c r="I78" s="6">
        <v>1660</v>
      </c>
      <c r="J78" s="7">
        <v>0</v>
      </c>
      <c r="K78" s="6">
        <v>3320</v>
      </c>
      <c r="L78" s="6">
        <v>1802.94</v>
      </c>
      <c r="M78" s="5">
        <v>1517.06</v>
      </c>
      <c r="N78" s="5" t="s">
        <v>62</v>
      </c>
      <c r="O78" s="2"/>
      <c r="P78" s="2"/>
    </row>
    <row r="79" spans="1:16">
      <c r="A79" s="5" t="s">
        <v>228</v>
      </c>
      <c r="B79" s="8">
        <v>45750</v>
      </c>
      <c r="C79" s="14">
        <f t="shared" si="1"/>
        <v>45748</v>
      </c>
      <c r="D79" s="5" t="s">
        <v>229</v>
      </c>
      <c r="E79" s="5" t="s">
        <v>121</v>
      </c>
      <c r="F79" s="5" t="s">
        <v>3</v>
      </c>
      <c r="G79" s="5" t="s">
        <v>8</v>
      </c>
      <c r="H79" s="5">
        <v>5</v>
      </c>
      <c r="I79" s="6">
        <v>1310</v>
      </c>
      <c r="J79" s="7">
        <v>0</v>
      </c>
      <c r="K79" s="6">
        <v>6550</v>
      </c>
      <c r="L79" s="6">
        <v>3826.55</v>
      </c>
      <c r="M79" s="5">
        <v>2723.45</v>
      </c>
      <c r="N79" s="5" t="s">
        <v>63</v>
      </c>
      <c r="O79" s="2"/>
      <c r="P79" s="2"/>
    </row>
    <row r="80" spans="1:16">
      <c r="A80" s="5" t="s">
        <v>230</v>
      </c>
      <c r="B80" s="8">
        <v>45755</v>
      </c>
      <c r="C80" s="14">
        <f t="shared" si="1"/>
        <v>45748</v>
      </c>
      <c r="D80" s="5" t="s">
        <v>120</v>
      </c>
      <c r="E80" s="5" t="s">
        <v>16</v>
      </c>
      <c r="F80" s="5" t="s">
        <v>3</v>
      </c>
      <c r="G80" s="5" t="s">
        <v>8</v>
      </c>
      <c r="H80" s="5">
        <v>3</v>
      </c>
      <c r="I80" s="6">
        <v>4090</v>
      </c>
      <c r="J80" s="7">
        <v>0.05</v>
      </c>
      <c r="K80" s="6">
        <v>11656.5</v>
      </c>
      <c r="L80" s="6">
        <v>7325.37</v>
      </c>
      <c r="M80" s="5">
        <v>4331.13</v>
      </c>
      <c r="N80" s="5" t="s">
        <v>63</v>
      </c>
      <c r="O80" s="2"/>
      <c r="P80" s="2"/>
    </row>
    <row r="81" spans="1:16">
      <c r="A81" s="5" t="s">
        <v>231</v>
      </c>
      <c r="B81" s="8">
        <v>45756</v>
      </c>
      <c r="C81" s="14">
        <f t="shared" si="1"/>
        <v>45748</v>
      </c>
      <c r="D81" s="5" t="s">
        <v>232</v>
      </c>
      <c r="E81" s="5" t="s">
        <v>18</v>
      </c>
      <c r="F81" s="5" t="s">
        <v>3</v>
      </c>
      <c r="G81" s="5" t="s">
        <v>11</v>
      </c>
      <c r="H81" s="5">
        <v>1</v>
      </c>
      <c r="I81" s="6">
        <v>2500</v>
      </c>
      <c r="J81" s="7">
        <v>0.1</v>
      </c>
      <c r="K81" s="6">
        <v>2250</v>
      </c>
      <c r="L81" s="6">
        <v>1596.16</v>
      </c>
      <c r="M81" s="5">
        <v>653.84</v>
      </c>
      <c r="N81" s="5" t="s">
        <v>63</v>
      </c>
      <c r="O81" s="2"/>
      <c r="P81" s="2"/>
    </row>
    <row r="82" spans="1:16">
      <c r="A82" s="5" t="s">
        <v>233</v>
      </c>
      <c r="B82" s="8">
        <v>45757</v>
      </c>
      <c r="C82" s="14">
        <f t="shared" si="1"/>
        <v>45748</v>
      </c>
      <c r="D82" s="5" t="s">
        <v>234</v>
      </c>
      <c r="E82" s="5" t="s">
        <v>121</v>
      </c>
      <c r="F82" s="5" t="s">
        <v>3</v>
      </c>
      <c r="G82" s="5" t="s">
        <v>8</v>
      </c>
      <c r="H82" s="5">
        <v>1</v>
      </c>
      <c r="I82" s="6">
        <v>1270</v>
      </c>
      <c r="J82" s="7">
        <v>0.25</v>
      </c>
      <c r="K82" s="6">
        <v>952.5</v>
      </c>
      <c r="L82" s="6">
        <v>776.16</v>
      </c>
      <c r="M82" s="5">
        <v>176.34</v>
      </c>
      <c r="N82" s="5" t="s">
        <v>66</v>
      </c>
      <c r="O82" s="2"/>
      <c r="P82" s="2"/>
    </row>
    <row r="83" spans="1:16">
      <c r="A83" s="5" t="s">
        <v>235</v>
      </c>
      <c r="B83" s="8">
        <v>45757</v>
      </c>
      <c r="C83" s="14">
        <f t="shared" si="1"/>
        <v>45748</v>
      </c>
      <c r="D83" s="5" t="s">
        <v>236</v>
      </c>
      <c r="E83" s="5" t="s">
        <v>95</v>
      </c>
      <c r="F83" s="5" t="s">
        <v>4</v>
      </c>
      <c r="G83" s="5" t="s">
        <v>9</v>
      </c>
      <c r="H83" s="5">
        <v>1</v>
      </c>
      <c r="I83" s="6">
        <v>2020</v>
      </c>
      <c r="J83" s="7">
        <v>0</v>
      </c>
      <c r="K83" s="6">
        <v>2020</v>
      </c>
      <c r="L83" s="6">
        <v>1166.46</v>
      </c>
      <c r="M83" s="5">
        <v>853.54</v>
      </c>
      <c r="N83" s="5" t="s">
        <v>63</v>
      </c>
      <c r="O83" s="2"/>
      <c r="P83" s="2"/>
    </row>
    <row r="84" spans="1:16">
      <c r="A84" s="5" t="s">
        <v>237</v>
      </c>
      <c r="B84" s="8">
        <v>45757</v>
      </c>
      <c r="C84" s="14">
        <f t="shared" si="1"/>
        <v>45748</v>
      </c>
      <c r="D84" s="5" t="s">
        <v>145</v>
      </c>
      <c r="E84" s="5" t="s">
        <v>15</v>
      </c>
      <c r="F84" s="5" t="s">
        <v>5</v>
      </c>
      <c r="G84" s="5" t="s">
        <v>9</v>
      </c>
      <c r="H84" s="5">
        <v>1</v>
      </c>
      <c r="I84" s="6">
        <v>3590</v>
      </c>
      <c r="J84" s="7">
        <v>0</v>
      </c>
      <c r="K84" s="6">
        <v>3590</v>
      </c>
      <c r="L84" s="6">
        <v>2135.5100000000002</v>
      </c>
      <c r="M84" s="5">
        <v>1454.49</v>
      </c>
      <c r="N84" s="5" t="s">
        <v>64</v>
      </c>
      <c r="O84" s="2"/>
      <c r="P84" s="2"/>
    </row>
    <row r="85" spans="1:16">
      <c r="A85" s="5" t="s">
        <v>238</v>
      </c>
      <c r="B85" s="8">
        <v>45759</v>
      </c>
      <c r="C85" s="14">
        <f t="shared" si="1"/>
        <v>45748</v>
      </c>
      <c r="D85" s="5" t="s">
        <v>239</v>
      </c>
      <c r="E85" s="5" t="s">
        <v>18</v>
      </c>
      <c r="F85" s="5" t="s">
        <v>3</v>
      </c>
      <c r="G85" s="5" t="s">
        <v>8</v>
      </c>
      <c r="H85" s="5">
        <v>3</v>
      </c>
      <c r="I85" s="6">
        <v>2420</v>
      </c>
      <c r="J85" s="7">
        <v>0</v>
      </c>
      <c r="K85" s="6">
        <v>7260</v>
      </c>
      <c r="L85" s="6">
        <v>4669.78</v>
      </c>
      <c r="M85" s="5">
        <v>2590.2199999999998</v>
      </c>
      <c r="N85" s="5" t="s">
        <v>64</v>
      </c>
      <c r="O85" s="2"/>
      <c r="P85" s="2"/>
    </row>
    <row r="86" spans="1:16">
      <c r="A86" s="5" t="s">
        <v>240</v>
      </c>
      <c r="B86" s="8">
        <v>45759</v>
      </c>
      <c r="C86" s="14">
        <f t="shared" si="1"/>
        <v>45748</v>
      </c>
      <c r="D86" s="5" t="s">
        <v>241</v>
      </c>
      <c r="E86" s="5" t="s">
        <v>100</v>
      </c>
      <c r="F86" s="5" t="s">
        <v>4</v>
      </c>
      <c r="G86" s="5" t="s">
        <v>8</v>
      </c>
      <c r="H86" s="5">
        <v>1</v>
      </c>
      <c r="I86" s="6">
        <v>1450</v>
      </c>
      <c r="J86" s="7">
        <v>0.15</v>
      </c>
      <c r="K86" s="6">
        <v>1232.5</v>
      </c>
      <c r="L86" s="6">
        <v>826</v>
      </c>
      <c r="M86" s="5">
        <v>406.5</v>
      </c>
      <c r="N86" s="5" t="s">
        <v>64</v>
      </c>
      <c r="O86" s="2"/>
      <c r="P86" s="2"/>
    </row>
    <row r="87" spans="1:16">
      <c r="A87" s="5" t="s">
        <v>242</v>
      </c>
      <c r="B87" s="8">
        <v>45759</v>
      </c>
      <c r="C87" s="14">
        <f t="shared" si="1"/>
        <v>45748</v>
      </c>
      <c r="D87" s="5" t="s">
        <v>243</v>
      </c>
      <c r="E87" s="5" t="s">
        <v>18</v>
      </c>
      <c r="F87" s="5" t="s">
        <v>3</v>
      </c>
      <c r="G87" s="5" t="s">
        <v>9</v>
      </c>
      <c r="H87" s="5">
        <v>1</v>
      </c>
      <c r="I87" s="6">
        <v>2490</v>
      </c>
      <c r="J87" s="7">
        <v>0.25</v>
      </c>
      <c r="K87" s="6">
        <v>1867.5</v>
      </c>
      <c r="L87" s="6">
        <v>1518.29</v>
      </c>
      <c r="M87" s="5">
        <v>349.21</v>
      </c>
      <c r="N87" s="5" t="s">
        <v>64</v>
      </c>
      <c r="O87" s="2"/>
      <c r="P87" s="2"/>
    </row>
    <row r="88" spans="1:16">
      <c r="A88" s="5" t="s">
        <v>244</v>
      </c>
      <c r="B88" s="8">
        <v>45760</v>
      </c>
      <c r="C88" s="14">
        <f t="shared" si="1"/>
        <v>45748</v>
      </c>
      <c r="D88" s="5" t="s">
        <v>77</v>
      </c>
      <c r="E88" s="5" t="s">
        <v>83</v>
      </c>
      <c r="F88" s="5" t="s">
        <v>4</v>
      </c>
      <c r="G88" s="5" t="s">
        <v>11</v>
      </c>
      <c r="H88" s="5">
        <v>3</v>
      </c>
      <c r="I88" s="6">
        <v>1600</v>
      </c>
      <c r="J88" s="7">
        <v>0</v>
      </c>
      <c r="K88" s="6">
        <v>4800</v>
      </c>
      <c r="L88" s="6">
        <v>2709.83</v>
      </c>
      <c r="M88" s="5">
        <v>2090.17</v>
      </c>
      <c r="N88" s="5" t="s">
        <v>66</v>
      </c>
      <c r="O88" s="2"/>
      <c r="P88" s="2"/>
    </row>
    <row r="89" spans="1:16">
      <c r="A89" s="5" t="s">
        <v>245</v>
      </c>
      <c r="B89" s="8">
        <v>45761</v>
      </c>
      <c r="C89" s="14">
        <f t="shared" si="1"/>
        <v>45748</v>
      </c>
      <c r="D89" s="5" t="s">
        <v>246</v>
      </c>
      <c r="E89" s="5" t="s">
        <v>221</v>
      </c>
      <c r="F89" s="5" t="s">
        <v>2</v>
      </c>
      <c r="G89" s="5" t="s">
        <v>10</v>
      </c>
      <c r="H89" s="5">
        <v>2</v>
      </c>
      <c r="I89" s="6">
        <v>1940</v>
      </c>
      <c r="J89" s="7">
        <v>0.05</v>
      </c>
      <c r="K89" s="6">
        <v>3686</v>
      </c>
      <c r="L89" s="6">
        <v>2139.6999999999998</v>
      </c>
      <c r="M89" s="5">
        <v>1546.3</v>
      </c>
      <c r="N89" s="5" t="s">
        <v>62</v>
      </c>
      <c r="O89" s="2"/>
      <c r="P89" s="2"/>
    </row>
    <row r="90" spans="1:16">
      <c r="A90" s="5" t="s">
        <v>247</v>
      </c>
      <c r="B90" s="8">
        <v>45761</v>
      </c>
      <c r="C90" s="14">
        <f t="shared" si="1"/>
        <v>45748</v>
      </c>
      <c r="D90" s="5" t="s">
        <v>248</v>
      </c>
      <c r="E90" s="5" t="s">
        <v>16</v>
      </c>
      <c r="F90" s="5" t="s">
        <v>3</v>
      </c>
      <c r="G90" s="5" t="s">
        <v>11</v>
      </c>
      <c r="H90" s="5">
        <v>2</v>
      </c>
      <c r="I90" s="6">
        <v>4040</v>
      </c>
      <c r="J90" s="7">
        <v>0</v>
      </c>
      <c r="K90" s="6">
        <v>8080</v>
      </c>
      <c r="L90" s="6">
        <v>4958.93</v>
      </c>
      <c r="M90" s="5">
        <v>3121.07</v>
      </c>
      <c r="N90" s="5" t="s">
        <v>63</v>
      </c>
      <c r="O90" s="2"/>
      <c r="P90" s="2"/>
    </row>
    <row r="91" spans="1:16">
      <c r="A91" s="5" t="s">
        <v>249</v>
      </c>
      <c r="B91" s="8">
        <v>45761</v>
      </c>
      <c r="C91" s="14">
        <f t="shared" si="1"/>
        <v>45748</v>
      </c>
      <c r="D91" s="5" t="s">
        <v>250</v>
      </c>
      <c r="E91" s="5" t="s">
        <v>83</v>
      </c>
      <c r="F91" s="5" t="s">
        <v>4</v>
      </c>
      <c r="G91" s="5" t="s">
        <v>10</v>
      </c>
      <c r="H91" s="5">
        <v>2</v>
      </c>
      <c r="I91" s="6">
        <v>1550</v>
      </c>
      <c r="J91" s="7">
        <v>0.15</v>
      </c>
      <c r="K91" s="6">
        <v>2635</v>
      </c>
      <c r="L91" s="6">
        <v>1838.08</v>
      </c>
      <c r="M91" s="5">
        <v>796.92</v>
      </c>
      <c r="N91" s="5" t="s">
        <v>64</v>
      </c>
      <c r="O91" s="2"/>
      <c r="P91" s="2"/>
    </row>
    <row r="92" spans="1:16">
      <c r="A92" s="5" t="s">
        <v>251</v>
      </c>
      <c r="B92" s="8">
        <v>45764</v>
      </c>
      <c r="C92" s="14">
        <f t="shared" si="1"/>
        <v>45748</v>
      </c>
      <c r="D92" s="5" t="s">
        <v>55</v>
      </c>
      <c r="E92" s="5" t="s">
        <v>15</v>
      </c>
      <c r="F92" s="5" t="s">
        <v>5</v>
      </c>
      <c r="G92" s="5" t="s">
        <v>10</v>
      </c>
      <c r="H92" s="5">
        <v>1</v>
      </c>
      <c r="I92" s="6">
        <v>3460</v>
      </c>
      <c r="J92" s="7">
        <v>0.15</v>
      </c>
      <c r="K92" s="6">
        <v>2941</v>
      </c>
      <c r="L92" s="6">
        <v>2141.64</v>
      </c>
      <c r="M92" s="5">
        <v>799.36</v>
      </c>
      <c r="N92" s="5" t="s">
        <v>66</v>
      </c>
      <c r="O92" s="2"/>
      <c r="P92" s="2"/>
    </row>
    <row r="93" spans="1:16">
      <c r="A93" s="5" t="s">
        <v>252</v>
      </c>
      <c r="B93" s="8">
        <v>45765</v>
      </c>
      <c r="C93" s="14">
        <f t="shared" si="1"/>
        <v>45748</v>
      </c>
      <c r="D93" s="5" t="s">
        <v>253</v>
      </c>
      <c r="E93" s="5" t="s">
        <v>90</v>
      </c>
      <c r="F93" s="5" t="s">
        <v>3</v>
      </c>
      <c r="G93" s="5" t="s">
        <v>10</v>
      </c>
      <c r="H93" s="5">
        <v>2</v>
      </c>
      <c r="I93" s="6">
        <v>2010</v>
      </c>
      <c r="J93" s="7">
        <v>0</v>
      </c>
      <c r="K93" s="6">
        <v>4020</v>
      </c>
      <c r="L93" s="6">
        <v>2364.9499999999998</v>
      </c>
      <c r="M93" s="5">
        <v>1655.05</v>
      </c>
      <c r="N93" s="5" t="s">
        <v>63</v>
      </c>
      <c r="O93" s="2"/>
      <c r="P93" s="2"/>
    </row>
    <row r="94" spans="1:16">
      <c r="A94" s="5" t="s">
        <v>254</v>
      </c>
      <c r="B94" s="8">
        <v>45765</v>
      </c>
      <c r="C94" s="14">
        <f t="shared" si="1"/>
        <v>45748</v>
      </c>
      <c r="D94" s="5" t="s">
        <v>255</v>
      </c>
      <c r="E94" s="5" t="s">
        <v>16</v>
      </c>
      <c r="F94" s="5" t="s">
        <v>3</v>
      </c>
      <c r="G94" s="5" t="s">
        <v>9</v>
      </c>
      <c r="H94" s="5">
        <v>1</v>
      </c>
      <c r="I94" s="6">
        <v>3840</v>
      </c>
      <c r="J94" s="7">
        <v>0.1</v>
      </c>
      <c r="K94" s="6">
        <v>3456</v>
      </c>
      <c r="L94" s="6">
        <v>2462</v>
      </c>
      <c r="M94" s="5">
        <v>994</v>
      </c>
      <c r="N94" s="5" t="s">
        <v>64</v>
      </c>
      <c r="O94" s="2"/>
      <c r="P94" s="2"/>
    </row>
    <row r="95" spans="1:16">
      <c r="A95" s="5" t="s">
        <v>256</v>
      </c>
      <c r="B95" s="8">
        <v>45765</v>
      </c>
      <c r="C95" s="14">
        <f t="shared" si="1"/>
        <v>45748</v>
      </c>
      <c r="D95" s="5" t="s">
        <v>257</v>
      </c>
      <c r="E95" s="5" t="s">
        <v>95</v>
      </c>
      <c r="F95" s="5" t="s">
        <v>4</v>
      </c>
      <c r="G95" s="5" t="s">
        <v>10</v>
      </c>
      <c r="H95" s="5">
        <v>2</v>
      </c>
      <c r="I95" s="6">
        <v>2070</v>
      </c>
      <c r="J95" s="7">
        <v>0.05</v>
      </c>
      <c r="K95" s="6">
        <v>3933</v>
      </c>
      <c r="L95" s="6">
        <v>2343.9899999999998</v>
      </c>
      <c r="M95" s="5">
        <v>1589.01</v>
      </c>
      <c r="N95" s="5" t="s">
        <v>66</v>
      </c>
      <c r="O95" s="2"/>
      <c r="P95" s="2"/>
    </row>
    <row r="96" spans="1:16">
      <c r="A96" s="5" t="s">
        <v>258</v>
      </c>
      <c r="B96" s="8">
        <v>45766</v>
      </c>
      <c r="C96" s="14">
        <f t="shared" si="1"/>
        <v>45748</v>
      </c>
      <c r="D96" s="5" t="s">
        <v>141</v>
      </c>
      <c r="E96" s="5" t="s">
        <v>18</v>
      </c>
      <c r="F96" s="5" t="s">
        <v>3</v>
      </c>
      <c r="G96" s="5" t="s">
        <v>9</v>
      </c>
      <c r="H96" s="5">
        <v>3</v>
      </c>
      <c r="I96" s="6">
        <v>2560</v>
      </c>
      <c r="J96" s="7">
        <v>0.1</v>
      </c>
      <c r="K96" s="6">
        <v>6912</v>
      </c>
      <c r="L96" s="6">
        <v>4649.47</v>
      </c>
      <c r="M96" s="5">
        <v>2262.5300000000002</v>
      </c>
      <c r="N96" s="5" t="s">
        <v>64</v>
      </c>
      <c r="O96" s="2"/>
      <c r="P96" s="2"/>
    </row>
    <row r="97" spans="1:16">
      <c r="A97" s="5" t="s">
        <v>259</v>
      </c>
      <c r="B97" s="8">
        <v>45766</v>
      </c>
      <c r="C97" s="14">
        <f t="shared" si="1"/>
        <v>45748</v>
      </c>
      <c r="D97" s="5" t="s">
        <v>260</v>
      </c>
      <c r="E97" s="5" t="s">
        <v>125</v>
      </c>
      <c r="F97" s="5" t="s">
        <v>5</v>
      </c>
      <c r="G97" s="5" t="s">
        <v>8</v>
      </c>
      <c r="H97" s="5">
        <v>1</v>
      </c>
      <c r="I97" s="6">
        <v>1860</v>
      </c>
      <c r="J97" s="7">
        <v>0.05</v>
      </c>
      <c r="K97" s="6">
        <v>1767</v>
      </c>
      <c r="L97" s="6">
        <v>1019.36</v>
      </c>
      <c r="M97" s="5">
        <v>747.64</v>
      </c>
      <c r="N97" s="5" t="s">
        <v>64</v>
      </c>
      <c r="O97" s="2"/>
      <c r="P97" s="2"/>
    </row>
    <row r="98" spans="1:16">
      <c r="A98" s="5" t="s">
        <v>261</v>
      </c>
      <c r="B98" s="8">
        <v>45768</v>
      </c>
      <c r="C98" s="14">
        <f t="shared" si="1"/>
        <v>45748</v>
      </c>
      <c r="D98" s="5" t="s">
        <v>262</v>
      </c>
      <c r="E98" s="5" t="s">
        <v>95</v>
      </c>
      <c r="F98" s="5" t="s">
        <v>4</v>
      </c>
      <c r="G98" s="5" t="s">
        <v>10</v>
      </c>
      <c r="H98" s="5">
        <v>1</v>
      </c>
      <c r="I98" s="6">
        <v>2020</v>
      </c>
      <c r="J98" s="7">
        <v>0</v>
      </c>
      <c r="K98" s="6">
        <v>2020</v>
      </c>
      <c r="L98" s="6">
        <v>1128.05</v>
      </c>
      <c r="M98" s="5">
        <v>891.95</v>
      </c>
      <c r="N98" s="5" t="s">
        <v>66</v>
      </c>
      <c r="O98" s="2"/>
      <c r="P98" s="2"/>
    </row>
    <row r="99" spans="1:16">
      <c r="A99" s="5" t="s">
        <v>263</v>
      </c>
      <c r="B99" s="8">
        <v>45768</v>
      </c>
      <c r="C99" s="14">
        <f t="shared" si="1"/>
        <v>45748</v>
      </c>
      <c r="D99" s="5" t="s">
        <v>264</v>
      </c>
      <c r="E99" s="5" t="s">
        <v>90</v>
      </c>
      <c r="F99" s="5" t="s">
        <v>3</v>
      </c>
      <c r="G99" s="5" t="s">
        <v>10</v>
      </c>
      <c r="H99" s="5">
        <v>1</v>
      </c>
      <c r="I99" s="6">
        <v>2060</v>
      </c>
      <c r="J99" s="7">
        <v>0.15</v>
      </c>
      <c r="K99" s="6">
        <v>1751</v>
      </c>
      <c r="L99" s="6">
        <v>1167</v>
      </c>
      <c r="M99" s="5">
        <v>584</v>
      </c>
      <c r="N99" s="5" t="s">
        <v>62</v>
      </c>
      <c r="O99" s="2"/>
      <c r="P99" s="2"/>
    </row>
    <row r="100" spans="1:16">
      <c r="A100" s="5" t="s">
        <v>265</v>
      </c>
      <c r="B100" s="8">
        <v>45768</v>
      </c>
      <c r="C100" s="14">
        <f t="shared" si="1"/>
        <v>45748</v>
      </c>
      <c r="D100" s="5" t="s">
        <v>266</v>
      </c>
      <c r="E100" s="5" t="s">
        <v>95</v>
      </c>
      <c r="F100" s="5" t="s">
        <v>4</v>
      </c>
      <c r="G100" s="5" t="s">
        <v>11</v>
      </c>
      <c r="H100" s="5">
        <v>2</v>
      </c>
      <c r="I100" s="6">
        <v>2080</v>
      </c>
      <c r="J100" s="7">
        <v>0</v>
      </c>
      <c r="K100" s="6">
        <v>4160</v>
      </c>
      <c r="L100" s="6">
        <v>2236.7199999999998</v>
      </c>
      <c r="M100" s="5">
        <v>1923.28</v>
      </c>
      <c r="N100" s="5" t="s">
        <v>64</v>
      </c>
      <c r="O100" s="2"/>
      <c r="P100" s="2"/>
    </row>
    <row r="101" spans="1:16">
      <c r="A101" s="5" t="s">
        <v>267</v>
      </c>
      <c r="B101" s="8">
        <v>45769</v>
      </c>
      <c r="C101" s="14">
        <f t="shared" si="1"/>
        <v>45748</v>
      </c>
      <c r="D101" s="5" t="s">
        <v>268</v>
      </c>
      <c r="E101" s="5" t="s">
        <v>18</v>
      </c>
      <c r="F101" s="5" t="s">
        <v>3</v>
      </c>
      <c r="G101" s="5" t="s">
        <v>9</v>
      </c>
      <c r="H101" s="5">
        <v>1</v>
      </c>
      <c r="I101" s="6">
        <v>2410</v>
      </c>
      <c r="J101" s="7">
        <v>0.15</v>
      </c>
      <c r="K101" s="6">
        <v>2048.5</v>
      </c>
      <c r="L101" s="6">
        <v>1572.85</v>
      </c>
      <c r="M101" s="5">
        <v>475.65</v>
      </c>
      <c r="N101" s="5" t="s">
        <v>63</v>
      </c>
      <c r="O101" s="2"/>
      <c r="P101" s="2"/>
    </row>
    <row r="102" spans="1:16">
      <c r="A102" s="5" t="s">
        <v>269</v>
      </c>
      <c r="B102" s="8">
        <v>45769</v>
      </c>
      <c r="C102" s="14">
        <f t="shared" si="1"/>
        <v>45748</v>
      </c>
      <c r="D102" s="5" t="s">
        <v>227</v>
      </c>
      <c r="E102" s="5" t="s">
        <v>16</v>
      </c>
      <c r="F102" s="5" t="s">
        <v>3</v>
      </c>
      <c r="G102" s="5" t="s">
        <v>10</v>
      </c>
      <c r="H102" s="5">
        <v>2</v>
      </c>
      <c r="I102" s="6">
        <v>4060</v>
      </c>
      <c r="J102" s="7">
        <v>0.1</v>
      </c>
      <c r="K102" s="6">
        <v>7308</v>
      </c>
      <c r="L102" s="6">
        <v>5123.0600000000004</v>
      </c>
      <c r="M102" s="5">
        <v>2184.94</v>
      </c>
      <c r="N102" s="5" t="s">
        <v>66</v>
      </c>
      <c r="O102" s="2"/>
      <c r="P102" s="2"/>
    </row>
    <row r="103" spans="1:16">
      <c r="A103" s="5" t="s">
        <v>270</v>
      </c>
      <c r="B103" s="8">
        <v>45771</v>
      </c>
      <c r="C103" s="14">
        <f t="shared" si="1"/>
        <v>45748</v>
      </c>
      <c r="D103" s="5" t="s">
        <v>271</v>
      </c>
      <c r="E103" s="5" t="s">
        <v>14</v>
      </c>
      <c r="F103" s="5" t="s">
        <v>5</v>
      </c>
      <c r="G103" s="5" t="s">
        <v>11</v>
      </c>
      <c r="H103" s="5">
        <v>1</v>
      </c>
      <c r="I103" s="6">
        <v>5310</v>
      </c>
      <c r="J103" s="7">
        <v>0.05</v>
      </c>
      <c r="K103" s="6">
        <v>5044.5</v>
      </c>
      <c r="L103" s="6">
        <v>3654.7</v>
      </c>
      <c r="M103" s="5">
        <v>1389.8</v>
      </c>
      <c r="N103" s="5" t="s">
        <v>64</v>
      </c>
      <c r="O103" s="2"/>
      <c r="P103" s="2"/>
    </row>
    <row r="104" spans="1:16">
      <c r="A104" s="5" t="s">
        <v>272</v>
      </c>
      <c r="B104" s="8">
        <v>45771</v>
      </c>
      <c r="C104" s="14">
        <f t="shared" si="1"/>
        <v>45748</v>
      </c>
      <c r="D104" s="5" t="s">
        <v>273</v>
      </c>
      <c r="E104" s="5" t="s">
        <v>221</v>
      </c>
      <c r="F104" s="5" t="s">
        <v>2</v>
      </c>
      <c r="G104" s="5" t="s">
        <v>11</v>
      </c>
      <c r="H104" s="5">
        <v>3</v>
      </c>
      <c r="I104" s="6">
        <v>1840</v>
      </c>
      <c r="J104" s="7">
        <v>0.15</v>
      </c>
      <c r="K104" s="6">
        <v>4692</v>
      </c>
      <c r="L104" s="6">
        <v>3112.09</v>
      </c>
      <c r="M104" s="5">
        <v>1579.91</v>
      </c>
      <c r="N104" s="5" t="s">
        <v>64</v>
      </c>
      <c r="O104" s="2"/>
      <c r="P104" s="2"/>
    </row>
    <row r="105" spans="1:16">
      <c r="A105" s="5" t="s">
        <v>274</v>
      </c>
      <c r="B105" s="8">
        <v>45771</v>
      </c>
      <c r="C105" s="14">
        <f t="shared" si="1"/>
        <v>45748</v>
      </c>
      <c r="D105" s="5" t="s">
        <v>275</v>
      </c>
      <c r="E105" s="5" t="s">
        <v>125</v>
      </c>
      <c r="F105" s="5" t="s">
        <v>5</v>
      </c>
      <c r="G105" s="5" t="s">
        <v>8</v>
      </c>
      <c r="H105" s="5">
        <v>5</v>
      </c>
      <c r="I105" s="6">
        <v>1850</v>
      </c>
      <c r="J105" s="7">
        <v>0</v>
      </c>
      <c r="K105" s="6">
        <v>9250</v>
      </c>
      <c r="L105" s="6">
        <v>5329.31</v>
      </c>
      <c r="M105" s="5">
        <v>3920.69</v>
      </c>
      <c r="N105" s="5" t="s">
        <v>62</v>
      </c>
      <c r="O105" s="2"/>
      <c r="P105" s="2"/>
    </row>
    <row r="106" spans="1:16">
      <c r="A106" s="5" t="s">
        <v>276</v>
      </c>
      <c r="B106" s="8">
        <v>45773</v>
      </c>
      <c r="C106" s="14">
        <f t="shared" si="1"/>
        <v>45748</v>
      </c>
      <c r="D106" s="5" t="s">
        <v>223</v>
      </c>
      <c r="E106" s="5" t="s">
        <v>149</v>
      </c>
      <c r="F106" s="5" t="s">
        <v>2</v>
      </c>
      <c r="G106" s="5" t="s">
        <v>10</v>
      </c>
      <c r="H106" s="5">
        <v>3</v>
      </c>
      <c r="I106" s="6">
        <v>2240</v>
      </c>
      <c r="J106" s="7">
        <v>0.05</v>
      </c>
      <c r="K106" s="6">
        <v>6384</v>
      </c>
      <c r="L106" s="6">
        <v>3913.29</v>
      </c>
      <c r="M106" s="5">
        <v>2470.71</v>
      </c>
      <c r="N106" s="5" t="s">
        <v>63</v>
      </c>
      <c r="O106" s="2"/>
      <c r="P106" s="2"/>
    </row>
    <row r="107" spans="1:16">
      <c r="A107" s="5" t="s">
        <v>277</v>
      </c>
      <c r="B107" s="8">
        <v>45774</v>
      </c>
      <c r="C107" s="14">
        <f t="shared" si="1"/>
        <v>45748</v>
      </c>
      <c r="D107" s="5" t="s">
        <v>278</v>
      </c>
      <c r="E107" s="5" t="s">
        <v>83</v>
      </c>
      <c r="F107" s="5" t="s">
        <v>4</v>
      </c>
      <c r="G107" s="5" t="s">
        <v>9</v>
      </c>
      <c r="H107" s="5">
        <v>2</v>
      </c>
      <c r="I107" s="6">
        <v>1580</v>
      </c>
      <c r="J107" s="7">
        <v>0</v>
      </c>
      <c r="K107" s="6">
        <v>3160</v>
      </c>
      <c r="L107" s="6">
        <v>1792.87</v>
      </c>
      <c r="M107" s="5">
        <v>1367.13</v>
      </c>
      <c r="N107" s="5" t="s">
        <v>63</v>
      </c>
      <c r="O107" s="2"/>
      <c r="P107" s="2"/>
    </row>
    <row r="108" spans="1:16">
      <c r="A108" s="5" t="s">
        <v>279</v>
      </c>
      <c r="B108" s="8">
        <v>45774</v>
      </c>
      <c r="C108" s="14">
        <f t="shared" si="1"/>
        <v>45748</v>
      </c>
      <c r="D108" s="5" t="s">
        <v>280</v>
      </c>
      <c r="E108" s="5" t="s">
        <v>16</v>
      </c>
      <c r="F108" s="5" t="s">
        <v>3</v>
      </c>
      <c r="G108" s="5" t="s">
        <v>11</v>
      </c>
      <c r="H108" s="5">
        <v>1</v>
      </c>
      <c r="I108" s="6">
        <v>4030</v>
      </c>
      <c r="J108" s="7">
        <v>0</v>
      </c>
      <c r="K108" s="6">
        <v>4030</v>
      </c>
      <c r="L108" s="6">
        <v>2560.36</v>
      </c>
      <c r="M108" s="5">
        <v>1469.64</v>
      </c>
      <c r="N108" s="5" t="s">
        <v>64</v>
      </c>
      <c r="O108" s="2"/>
      <c r="P108" s="2"/>
    </row>
    <row r="109" spans="1:16">
      <c r="A109" s="5" t="s">
        <v>281</v>
      </c>
      <c r="B109" s="8">
        <v>45776</v>
      </c>
      <c r="C109" s="14">
        <f t="shared" si="1"/>
        <v>45748</v>
      </c>
      <c r="D109" s="5" t="s">
        <v>282</v>
      </c>
      <c r="E109" s="5" t="s">
        <v>17</v>
      </c>
      <c r="F109" s="5" t="s">
        <v>4</v>
      </c>
      <c r="G109" s="5" t="s">
        <v>11</v>
      </c>
      <c r="H109" s="5">
        <v>2</v>
      </c>
      <c r="I109" s="6">
        <v>2970</v>
      </c>
      <c r="J109" s="7">
        <v>0.25</v>
      </c>
      <c r="K109" s="6">
        <v>4455</v>
      </c>
      <c r="L109" s="6">
        <v>3755.41</v>
      </c>
      <c r="M109" s="5">
        <v>699.59</v>
      </c>
      <c r="N109" s="5" t="s">
        <v>64</v>
      </c>
      <c r="O109" s="2"/>
      <c r="P109" s="2"/>
    </row>
    <row r="110" spans="1:16">
      <c r="A110" s="5" t="s">
        <v>283</v>
      </c>
      <c r="B110" s="8">
        <v>45776</v>
      </c>
      <c r="C110" s="14">
        <f t="shared" si="1"/>
        <v>45748</v>
      </c>
      <c r="D110" s="5" t="s">
        <v>284</v>
      </c>
      <c r="E110" s="5" t="s">
        <v>95</v>
      </c>
      <c r="F110" s="5" t="s">
        <v>4</v>
      </c>
      <c r="G110" s="5" t="s">
        <v>8</v>
      </c>
      <c r="H110" s="5">
        <v>2</v>
      </c>
      <c r="I110" s="6">
        <v>2060</v>
      </c>
      <c r="J110" s="7">
        <v>0.1</v>
      </c>
      <c r="K110" s="6">
        <v>3708</v>
      </c>
      <c r="L110" s="6">
        <v>2309.7399999999998</v>
      </c>
      <c r="M110" s="5">
        <v>1398.26</v>
      </c>
      <c r="N110" s="5" t="s">
        <v>64</v>
      </c>
      <c r="O110" s="2"/>
      <c r="P110" s="2"/>
    </row>
    <row r="111" spans="1:16">
      <c r="A111" s="5" t="s">
        <v>285</v>
      </c>
      <c r="B111" s="8">
        <v>45776</v>
      </c>
      <c r="C111" s="14">
        <f t="shared" si="1"/>
        <v>45748</v>
      </c>
      <c r="D111" s="5" t="s">
        <v>286</v>
      </c>
      <c r="E111" s="5" t="s">
        <v>100</v>
      </c>
      <c r="F111" s="5" t="s">
        <v>4</v>
      </c>
      <c r="G111" s="5" t="s">
        <v>9</v>
      </c>
      <c r="H111" s="5">
        <v>2</v>
      </c>
      <c r="I111" s="6">
        <v>1450</v>
      </c>
      <c r="J111" s="7">
        <v>0.25</v>
      </c>
      <c r="K111" s="6">
        <v>2175</v>
      </c>
      <c r="L111" s="6">
        <v>1650.73</v>
      </c>
      <c r="M111" s="5">
        <v>524.27</v>
      </c>
      <c r="N111" s="5" t="s">
        <v>64</v>
      </c>
      <c r="O111" s="2"/>
      <c r="P111" s="2"/>
    </row>
    <row r="112" spans="1:16">
      <c r="A112" s="5" t="s">
        <v>287</v>
      </c>
      <c r="B112" s="8">
        <v>45777</v>
      </c>
      <c r="C112" s="14">
        <f t="shared" si="1"/>
        <v>45748</v>
      </c>
      <c r="D112" s="5" t="s">
        <v>225</v>
      </c>
      <c r="E112" s="5" t="s">
        <v>83</v>
      </c>
      <c r="F112" s="5" t="s">
        <v>4</v>
      </c>
      <c r="G112" s="5" t="s">
        <v>9</v>
      </c>
      <c r="H112" s="5">
        <v>4</v>
      </c>
      <c r="I112" s="6">
        <v>1590</v>
      </c>
      <c r="J112" s="7">
        <v>0.15</v>
      </c>
      <c r="K112" s="6">
        <v>5406</v>
      </c>
      <c r="L112" s="6">
        <v>3576.49</v>
      </c>
      <c r="M112" s="5">
        <v>1829.51</v>
      </c>
      <c r="N112" s="5" t="s">
        <v>66</v>
      </c>
      <c r="O112" s="2"/>
      <c r="P112" s="2"/>
    </row>
    <row r="113" spans="1:16">
      <c r="A113" s="5" t="s">
        <v>288</v>
      </c>
      <c r="B113" s="8">
        <v>45777</v>
      </c>
      <c r="C113" s="14">
        <f t="shared" si="1"/>
        <v>45748</v>
      </c>
      <c r="D113" s="5" t="s">
        <v>289</v>
      </c>
      <c r="E113" s="5" t="s">
        <v>18</v>
      </c>
      <c r="F113" s="5" t="s">
        <v>3</v>
      </c>
      <c r="G113" s="5" t="s">
        <v>8</v>
      </c>
      <c r="H113" s="5">
        <v>2</v>
      </c>
      <c r="I113" s="6">
        <v>2500</v>
      </c>
      <c r="J113" s="7">
        <v>0.05</v>
      </c>
      <c r="K113" s="6">
        <v>4750</v>
      </c>
      <c r="L113" s="6">
        <v>3143.94</v>
      </c>
      <c r="M113" s="5">
        <v>1606.06</v>
      </c>
      <c r="N113" s="5" t="s">
        <v>64</v>
      </c>
      <c r="O113" s="2"/>
      <c r="P113" s="2"/>
    </row>
    <row r="114" spans="1:16">
      <c r="A114" s="5" t="s">
        <v>290</v>
      </c>
      <c r="B114" s="8">
        <v>45778</v>
      </c>
      <c r="C114" s="14">
        <f t="shared" si="1"/>
        <v>45778</v>
      </c>
      <c r="D114" s="5" t="s">
        <v>291</v>
      </c>
      <c r="E114" s="5" t="s">
        <v>125</v>
      </c>
      <c r="F114" s="5" t="s">
        <v>5</v>
      </c>
      <c r="G114" s="5" t="s">
        <v>11</v>
      </c>
      <c r="H114" s="5">
        <v>2</v>
      </c>
      <c r="I114" s="6">
        <v>1830</v>
      </c>
      <c r="J114" s="7">
        <v>0.15</v>
      </c>
      <c r="K114" s="6">
        <v>3111</v>
      </c>
      <c r="L114" s="6">
        <v>2093.2399999999998</v>
      </c>
      <c r="M114" s="5">
        <v>1017.76</v>
      </c>
      <c r="N114" s="5" t="s">
        <v>66</v>
      </c>
      <c r="O114" s="2"/>
      <c r="P114" s="2"/>
    </row>
    <row r="115" spans="1:16">
      <c r="A115" s="5" t="s">
        <v>292</v>
      </c>
      <c r="B115" s="8">
        <v>45779</v>
      </c>
      <c r="C115" s="14">
        <f t="shared" si="1"/>
        <v>45778</v>
      </c>
      <c r="D115" s="5" t="s">
        <v>293</v>
      </c>
      <c r="E115" s="5" t="s">
        <v>18</v>
      </c>
      <c r="F115" s="5" t="s">
        <v>3</v>
      </c>
      <c r="G115" s="5" t="s">
        <v>10</v>
      </c>
      <c r="H115" s="5">
        <v>1</v>
      </c>
      <c r="I115" s="6">
        <v>2520</v>
      </c>
      <c r="J115" s="7">
        <v>0.2</v>
      </c>
      <c r="K115" s="6">
        <v>2016</v>
      </c>
      <c r="L115" s="6">
        <v>1580.38</v>
      </c>
      <c r="M115" s="5">
        <v>435.62</v>
      </c>
      <c r="N115" s="5" t="s">
        <v>65</v>
      </c>
      <c r="O115" s="2"/>
      <c r="P115" s="2"/>
    </row>
    <row r="116" spans="1:16">
      <c r="A116" s="5" t="s">
        <v>294</v>
      </c>
      <c r="B116" s="8">
        <v>45780</v>
      </c>
      <c r="C116" s="14">
        <f t="shared" si="1"/>
        <v>45778</v>
      </c>
      <c r="D116" s="5" t="s">
        <v>295</v>
      </c>
      <c r="E116" s="5" t="s">
        <v>83</v>
      </c>
      <c r="F116" s="5" t="s">
        <v>4</v>
      </c>
      <c r="G116" s="5" t="s">
        <v>10</v>
      </c>
      <c r="H116" s="5">
        <v>1</v>
      </c>
      <c r="I116" s="6">
        <v>1540</v>
      </c>
      <c r="J116" s="7">
        <v>0.1</v>
      </c>
      <c r="K116" s="6">
        <v>1386</v>
      </c>
      <c r="L116" s="6">
        <v>894.48</v>
      </c>
      <c r="M116" s="5">
        <v>491.52</v>
      </c>
      <c r="N116" s="5" t="s">
        <v>66</v>
      </c>
      <c r="O116" s="2"/>
      <c r="P116" s="2"/>
    </row>
    <row r="117" spans="1:16">
      <c r="A117" s="5" t="s">
        <v>296</v>
      </c>
      <c r="B117" s="8">
        <v>45781</v>
      </c>
      <c r="C117" s="14">
        <f t="shared" si="1"/>
        <v>45778</v>
      </c>
      <c r="D117" s="5" t="s">
        <v>187</v>
      </c>
      <c r="E117" s="5" t="s">
        <v>121</v>
      </c>
      <c r="F117" s="5" t="s">
        <v>3</v>
      </c>
      <c r="G117" s="5" t="s">
        <v>10</v>
      </c>
      <c r="H117" s="5">
        <v>1</v>
      </c>
      <c r="I117" s="6">
        <v>1290</v>
      </c>
      <c r="J117" s="7">
        <v>0.05</v>
      </c>
      <c r="K117" s="6">
        <v>1225.5</v>
      </c>
      <c r="L117" s="6">
        <v>779.84</v>
      </c>
      <c r="M117" s="5">
        <v>445.66</v>
      </c>
      <c r="N117" s="5" t="s">
        <v>66</v>
      </c>
      <c r="O117" s="2"/>
      <c r="P117" s="2"/>
    </row>
    <row r="118" spans="1:16">
      <c r="A118" s="5" t="s">
        <v>297</v>
      </c>
      <c r="B118" s="8">
        <v>45784</v>
      </c>
      <c r="C118" s="14">
        <f t="shared" si="1"/>
        <v>45778</v>
      </c>
      <c r="D118" s="5" t="s">
        <v>298</v>
      </c>
      <c r="E118" s="5" t="s">
        <v>18</v>
      </c>
      <c r="F118" s="5" t="s">
        <v>3</v>
      </c>
      <c r="G118" s="5" t="s">
        <v>9</v>
      </c>
      <c r="H118" s="5">
        <v>1</v>
      </c>
      <c r="I118" s="6">
        <v>2450</v>
      </c>
      <c r="J118" s="7">
        <v>0</v>
      </c>
      <c r="K118" s="6">
        <v>2450</v>
      </c>
      <c r="L118" s="6">
        <v>1554.58</v>
      </c>
      <c r="M118" s="5">
        <v>895.42</v>
      </c>
      <c r="N118" s="5" t="s">
        <v>63</v>
      </c>
      <c r="O118" s="2"/>
      <c r="P118" s="2"/>
    </row>
    <row r="119" spans="1:16">
      <c r="A119" s="5" t="s">
        <v>299</v>
      </c>
      <c r="B119" s="8">
        <v>45784</v>
      </c>
      <c r="C119" s="14">
        <f t="shared" si="1"/>
        <v>45778</v>
      </c>
      <c r="D119" s="5" t="s">
        <v>53</v>
      </c>
      <c r="E119" s="5" t="s">
        <v>90</v>
      </c>
      <c r="F119" s="5" t="s">
        <v>3</v>
      </c>
      <c r="G119" s="5" t="s">
        <v>10</v>
      </c>
      <c r="H119" s="5">
        <v>4</v>
      </c>
      <c r="I119" s="6">
        <v>2010</v>
      </c>
      <c r="J119" s="7">
        <v>0.1</v>
      </c>
      <c r="K119" s="6">
        <v>7236</v>
      </c>
      <c r="L119" s="6">
        <v>4775.74</v>
      </c>
      <c r="M119" s="5">
        <v>2460.2600000000002</v>
      </c>
      <c r="N119" s="5" t="s">
        <v>66</v>
      </c>
      <c r="O119" s="2"/>
      <c r="P119" s="2"/>
    </row>
    <row r="120" spans="1:16">
      <c r="A120" s="5" t="s">
        <v>300</v>
      </c>
      <c r="B120" s="8">
        <v>45785</v>
      </c>
      <c r="C120" s="14">
        <f t="shared" si="1"/>
        <v>45778</v>
      </c>
      <c r="D120" s="5" t="s">
        <v>301</v>
      </c>
      <c r="E120" s="5" t="s">
        <v>121</v>
      </c>
      <c r="F120" s="5" t="s">
        <v>3</v>
      </c>
      <c r="G120" s="5" t="s">
        <v>11</v>
      </c>
      <c r="H120" s="5">
        <v>2</v>
      </c>
      <c r="I120" s="6">
        <v>1260</v>
      </c>
      <c r="J120" s="7">
        <v>0.1</v>
      </c>
      <c r="K120" s="6">
        <v>2268</v>
      </c>
      <c r="L120" s="6">
        <v>1532.84</v>
      </c>
      <c r="M120" s="5">
        <v>735.16</v>
      </c>
      <c r="N120" s="5" t="s">
        <v>66</v>
      </c>
      <c r="O120" s="2"/>
      <c r="P120" s="2"/>
    </row>
    <row r="121" spans="1:16">
      <c r="A121" s="5" t="s">
        <v>302</v>
      </c>
      <c r="B121" s="8">
        <v>45788</v>
      </c>
      <c r="C121" s="14">
        <f t="shared" si="1"/>
        <v>45778</v>
      </c>
      <c r="D121" s="5" t="s">
        <v>303</v>
      </c>
      <c r="E121" s="5" t="s">
        <v>16</v>
      </c>
      <c r="F121" s="5" t="s">
        <v>3</v>
      </c>
      <c r="G121" s="5" t="s">
        <v>8</v>
      </c>
      <c r="H121" s="5">
        <v>1</v>
      </c>
      <c r="I121" s="6">
        <v>3870</v>
      </c>
      <c r="J121" s="7">
        <v>0</v>
      </c>
      <c r="K121" s="6">
        <v>3870</v>
      </c>
      <c r="L121" s="6">
        <v>2532.86</v>
      </c>
      <c r="M121" s="5">
        <v>1337.14</v>
      </c>
      <c r="N121" s="5" t="s">
        <v>63</v>
      </c>
      <c r="O121" s="2"/>
      <c r="P121" s="2"/>
    </row>
    <row r="122" spans="1:16">
      <c r="A122" s="5" t="s">
        <v>304</v>
      </c>
      <c r="B122" s="8">
        <v>45791</v>
      </c>
      <c r="C122" s="14">
        <f t="shared" si="1"/>
        <v>45778</v>
      </c>
      <c r="D122" s="5" t="s">
        <v>87</v>
      </c>
      <c r="E122" s="5" t="s">
        <v>90</v>
      </c>
      <c r="F122" s="5" t="s">
        <v>3</v>
      </c>
      <c r="G122" s="5" t="s">
        <v>11</v>
      </c>
      <c r="H122" s="5">
        <v>1</v>
      </c>
      <c r="I122" s="6">
        <v>2060</v>
      </c>
      <c r="J122" s="7">
        <v>0.05</v>
      </c>
      <c r="K122" s="6">
        <v>1957</v>
      </c>
      <c r="L122" s="6">
        <v>1175.8499999999999</v>
      </c>
      <c r="M122" s="5">
        <v>781.15</v>
      </c>
      <c r="N122" s="5" t="s">
        <v>63</v>
      </c>
      <c r="O122" s="2"/>
      <c r="P122" s="2"/>
    </row>
    <row r="123" spans="1:16">
      <c r="A123" s="5" t="s">
        <v>305</v>
      </c>
      <c r="B123" s="8">
        <v>45794</v>
      </c>
      <c r="C123" s="14">
        <f t="shared" si="1"/>
        <v>45778</v>
      </c>
      <c r="D123" s="5" t="s">
        <v>306</v>
      </c>
      <c r="E123" s="5" t="s">
        <v>14</v>
      </c>
      <c r="F123" s="5" t="s">
        <v>5</v>
      </c>
      <c r="G123" s="5" t="s">
        <v>10</v>
      </c>
      <c r="H123" s="5">
        <v>2</v>
      </c>
      <c r="I123" s="6">
        <v>5460</v>
      </c>
      <c r="J123" s="7">
        <v>0</v>
      </c>
      <c r="K123" s="6">
        <v>10920</v>
      </c>
      <c r="L123" s="6">
        <v>7357.04</v>
      </c>
      <c r="M123" s="5">
        <v>3562.96</v>
      </c>
      <c r="N123" s="5" t="s">
        <v>64</v>
      </c>
      <c r="O123" s="2"/>
      <c r="P123" s="2"/>
    </row>
    <row r="124" spans="1:16">
      <c r="A124" s="5" t="s">
        <v>307</v>
      </c>
      <c r="B124" s="8">
        <v>45794</v>
      </c>
      <c r="C124" s="14">
        <f t="shared" si="1"/>
        <v>45778</v>
      </c>
      <c r="D124" s="5" t="s">
        <v>308</v>
      </c>
      <c r="E124" s="5" t="s">
        <v>17</v>
      </c>
      <c r="F124" s="5" t="s">
        <v>4</v>
      </c>
      <c r="G124" s="5" t="s">
        <v>11</v>
      </c>
      <c r="H124" s="5">
        <v>1</v>
      </c>
      <c r="I124" s="6">
        <v>2920</v>
      </c>
      <c r="J124" s="7">
        <v>0.15</v>
      </c>
      <c r="K124" s="6">
        <v>2482</v>
      </c>
      <c r="L124" s="6">
        <v>1869.14</v>
      </c>
      <c r="M124" s="5">
        <v>612.86</v>
      </c>
      <c r="N124" s="5" t="s">
        <v>65</v>
      </c>
      <c r="O124" s="2"/>
      <c r="P124" s="2"/>
    </row>
    <row r="125" spans="1:16">
      <c r="A125" s="5" t="s">
        <v>309</v>
      </c>
      <c r="B125" s="8">
        <v>45794</v>
      </c>
      <c r="C125" s="14">
        <f t="shared" si="1"/>
        <v>45778</v>
      </c>
      <c r="D125" s="5" t="s">
        <v>284</v>
      </c>
      <c r="E125" s="5" t="s">
        <v>149</v>
      </c>
      <c r="F125" s="5" t="s">
        <v>2</v>
      </c>
      <c r="G125" s="5" t="s">
        <v>10</v>
      </c>
      <c r="H125" s="5">
        <v>1</v>
      </c>
      <c r="I125" s="6">
        <v>2350</v>
      </c>
      <c r="J125" s="7">
        <v>0.1</v>
      </c>
      <c r="K125" s="6">
        <v>2115</v>
      </c>
      <c r="L125" s="6">
        <v>1329.98</v>
      </c>
      <c r="M125" s="5">
        <v>785.02</v>
      </c>
      <c r="N125" s="5" t="s">
        <v>62</v>
      </c>
      <c r="O125" s="2"/>
      <c r="P125" s="2"/>
    </row>
    <row r="126" spans="1:16">
      <c r="A126" s="5" t="s">
        <v>310</v>
      </c>
      <c r="B126" s="8">
        <v>45798</v>
      </c>
      <c r="C126" s="14">
        <f t="shared" si="1"/>
        <v>45778</v>
      </c>
      <c r="D126" s="5" t="s">
        <v>151</v>
      </c>
      <c r="E126" s="5" t="s">
        <v>14</v>
      </c>
      <c r="F126" s="5" t="s">
        <v>5</v>
      </c>
      <c r="G126" s="5" t="s">
        <v>9</v>
      </c>
      <c r="H126" s="5">
        <v>1</v>
      </c>
      <c r="I126" s="6">
        <v>5620</v>
      </c>
      <c r="J126" s="7">
        <v>0.15</v>
      </c>
      <c r="K126" s="6">
        <v>4777</v>
      </c>
      <c r="L126" s="6">
        <v>3621.84</v>
      </c>
      <c r="M126" s="5">
        <v>1155.1600000000001</v>
      </c>
      <c r="N126" s="5" t="s">
        <v>64</v>
      </c>
      <c r="O126" s="2"/>
      <c r="P126" s="2"/>
    </row>
    <row r="127" spans="1:16">
      <c r="A127" s="5" t="s">
        <v>311</v>
      </c>
      <c r="B127" s="8">
        <v>45801</v>
      </c>
      <c r="C127" s="14">
        <f t="shared" si="1"/>
        <v>45778</v>
      </c>
      <c r="D127" s="5" t="s">
        <v>312</v>
      </c>
      <c r="E127" s="5" t="s">
        <v>125</v>
      </c>
      <c r="F127" s="5" t="s">
        <v>5</v>
      </c>
      <c r="G127" s="5" t="s">
        <v>9</v>
      </c>
      <c r="H127" s="5">
        <v>2</v>
      </c>
      <c r="I127" s="6">
        <v>1750</v>
      </c>
      <c r="J127" s="7">
        <v>0.05</v>
      </c>
      <c r="K127" s="6">
        <v>3325</v>
      </c>
      <c r="L127" s="6">
        <v>2049.54</v>
      </c>
      <c r="M127" s="5">
        <v>1275.46</v>
      </c>
      <c r="N127" s="5" t="s">
        <v>66</v>
      </c>
      <c r="O127" s="2"/>
      <c r="P127" s="2"/>
    </row>
    <row r="128" spans="1:16">
      <c r="A128" s="5" t="s">
        <v>313</v>
      </c>
      <c r="B128" s="8">
        <v>45805</v>
      </c>
      <c r="C128" s="14">
        <f t="shared" si="1"/>
        <v>45778</v>
      </c>
      <c r="D128" s="5" t="s">
        <v>314</v>
      </c>
      <c r="E128" s="5" t="s">
        <v>130</v>
      </c>
      <c r="F128" s="5" t="s">
        <v>5</v>
      </c>
      <c r="G128" s="5" t="s">
        <v>9</v>
      </c>
      <c r="H128" s="5">
        <v>2</v>
      </c>
      <c r="I128" s="6">
        <v>3100</v>
      </c>
      <c r="J128" s="7">
        <v>0.1</v>
      </c>
      <c r="K128" s="6">
        <v>5580</v>
      </c>
      <c r="L128" s="6">
        <v>3815.18</v>
      </c>
      <c r="M128" s="5">
        <v>1764.82</v>
      </c>
      <c r="N128" s="5" t="s">
        <v>66</v>
      </c>
      <c r="O128" s="2"/>
      <c r="P128" s="2"/>
    </row>
    <row r="129" spans="1:16">
      <c r="A129" s="5" t="s">
        <v>315</v>
      </c>
      <c r="B129" s="8">
        <v>45806</v>
      </c>
      <c r="C129" s="14">
        <f t="shared" si="1"/>
        <v>45778</v>
      </c>
      <c r="D129" s="5" t="s">
        <v>180</v>
      </c>
      <c r="E129" s="5" t="s">
        <v>221</v>
      </c>
      <c r="F129" s="5" t="s">
        <v>2</v>
      </c>
      <c r="G129" s="5" t="s">
        <v>9</v>
      </c>
      <c r="H129" s="5">
        <v>2</v>
      </c>
      <c r="I129" s="6">
        <v>1830</v>
      </c>
      <c r="J129" s="7">
        <v>0</v>
      </c>
      <c r="K129" s="6">
        <v>3660</v>
      </c>
      <c r="L129" s="6">
        <v>2121.0300000000002</v>
      </c>
      <c r="M129" s="5">
        <v>1538.97</v>
      </c>
      <c r="N129" s="5" t="s">
        <v>63</v>
      </c>
      <c r="O129" s="2"/>
      <c r="P129" s="2"/>
    </row>
    <row r="130" spans="1:16">
      <c r="A130" s="5" t="s">
        <v>316</v>
      </c>
      <c r="B130" s="8">
        <v>45806</v>
      </c>
      <c r="C130" s="14">
        <f t="shared" ref="C130:C193" si="2">DATE(YEAR(B130),MONTH(B130),1)</f>
        <v>45778</v>
      </c>
      <c r="D130" s="5" t="s">
        <v>236</v>
      </c>
      <c r="E130" s="5" t="s">
        <v>125</v>
      </c>
      <c r="F130" s="5" t="s">
        <v>5</v>
      </c>
      <c r="G130" s="5" t="s">
        <v>8</v>
      </c>
      <c r="H130" s="5">
        <v>4</v>
      </c>
      <c r="I130" s="6">
        <v>1820</v>
      </c>
      <c r="J130" s="7">
        <v>0.05</v>
      </c>
      <c r="K130" s="6">
        <v>6916</v>
      </c>
      <c r="L130" s="6">
        <v>4244.9799999999996</v>
      </c>
      <c r="M130" s="5">
        <v>2671.02</v>
      </c>
      <c r="N130" s="5" t="s">
        <v>64</v>
      </c>
      <c r="O130" s="2"/>
      <c r="P130" s="2"/>
    </row>
    <row r="131" spans="1:16">
      <c r="A131" s="5" t="s">
        <v>317</v>
      </c>
      <c r="B131" s="8">
        <v>45807</v>
      </c>
      <c r="C131" s="14">
        <f t="shared" si="2"/>
        <v>45778</v>
      </c>
      <c r="D131" s="5" t="s">
        <v>282</v>
      </c>
      <c r="E131" s="5" t="s">
        <v>221</v>
      </c>
      <c r="F131" s="5" t="s">
        <v>2</v>
      </c>
      <c r="G131" s="5" t="s">
        <v>10</v>
      </c>
      <c r="H131" s="5">
        <v>1</v>
      </c>
      <c r="I131" s="6">
        <v>1930</v>
      </c>
      <c r="J131" s="7">
        <v>0.1</v>
      </c>
      <c r="K131" s="6">
        <v>1737</v>
      </c>
      <c r="L131" s="6">
        <v>1075.22</v>
      </c>
      <c r="M131" s="5">
        <v>661.78</v>
      </c>
      <c r="N131" s="5" t="s">
        <v>64</v>
      </c>
      <c r="O131" s="2"/>
      <c r="P131" s="2"/>
    </row>
    <row r="132" spans="1:16">
      <c r="A132" s="5" t="s">
        <v>318</v>
      </c>
      <c r="B132" s="8">
        <v>45809</v>
      </c>
      <c r="C132" s="14">
        <f t="shared" si="2"/>
        <v>45809</v>
      </c>
      <c r="D132" s="5" t="s">
        <v>319</v>
      </c>
      <c r="E132" s="5" t="s">
        <v>90</v>
      </c>
      <c r="F132" s="5" t="s">
        <v>3</v>
      </c>
      <c r="G132" s="5" t="s">
        <v>10</v>
      </c>
      <c r="H132" s="5">
        <v>1</v>
      </c>
      <c r="I132" s="6">
        <v>1970</v>
      </c>
      <c r="J132" s="7">
        <v>0.15</v>
      </c>
      <c r="K132" s="6">
        <v>1674.5</v>
      </c>
      <c r="L132" s="6">
        <v>1216.18</v>
      </c>
      <c r="M132" s="5">
        <v>458.32</v>
      </c>
      <c r="N132" s="5" t="s">
        <v>66</v>
      </c>
      <c r="O132" s="2"/>
      <c r="P132" s="2"/>
    </row>
    <row r="133" spans="1:16">
      <c r="A133" s="5" t="s">
        <v>320</v>
      </c>
      <c r="B133" s="8">
        <v>45811</v>
      </c>
      <c r="C133" s="14">
        <f t="shared" si="2"/>
        <v>45809</v>
      </c>
      <c r="D133" s="5" t="s">
        <v>321</v>
      </c>
      <c r="E133" s="5" t="s">
        <v>18</v>
      </c>
      <c r="F133" s="5" t="s">
        <v>3</v>
      </c>
      <c r="G133" s="5" t="s">
        <v>9</v>
      </c>
      <c r="H133" s="5">
        <v>4</v>
      </c>
      <c r="I133" s="6">
        <v>2490</v>
      </c>
      <c r="J133" s="7">
        <v>0.1</v>
      </c>
      <c r="K133" s="6">
        <v>8964</v>
      </c>
      <c r="L133" s="6">
        <v>6140.62</v>
      </c>
      <c r="M133" s="5">
        <v>2823.38</v>
      </c>
      <c r="N133" s="5" t="s">
        <v>63</v>
      </c>
      <c r="O133" s="2"/>
      <c r="P133" s="2"/>
    </row>
    <row r="134" spans="1:16">
      <c r="A134" s="5" t="s">
        <v>322</v>
      </c>
      <c r="B134" s="8">
        <v>45812</v>
      </c>
      <c r="C134" s="14">
        <f t="shared" si="2"/>
        <v>45809</v>
      </c>
      <c r="D134" s="5" t="s">
        <v>323</v>
      </c>
      <c r="E134" s="5" t="s">
        <v>16</v>
      </c>
      <c r="F134" s="5" t="s">
        <v>3</v>
      </c>
      <c r="G134" s="5" t="s">
        <v>10</v>
      </c>
      <c r="H134" s="5">
        <v>1</v>
      </c>
      <c r="I134" s="6">
        <v>3940</v>
      </c>
      <c r="J134" s="7">
        <v>0.1</v>
      </c>
      <c r="K134" s="6">
        <v>3546</v>
      </c>
      <c r="L134" s="6">
        <v>2447.06</v>
      </c>
      <c r="M134" s="5">
        <v>1098.94</v>
      </c>
      <c r="N134" s="5" t="s">
        <v>62</v>
      </c>
      <c r="O134" s="2"/>
      <c r="P134" s="2"/>
    </row>
    <row r="135" spans="1:16">
      <c r="A135" s="5" t="s">
        <v>324</v>
      </c>
      <c r="B135" s="8">
        <v>45812</v>
      </c>
      <c r="C135" s="14">
        <f t="shared" si="2"/>
        <v>45809</v>
      </c>
      <c r="D135" s="5" t="s">
        <v>325</v>
      </c>
      <c r="E135" s="5" t="s">
        <v>15</v>
      </c>
      <c r="F135" s="5" t="s">
        <v>5</v>
      </c>
      <c r="G135" s="5" t="s">
        <v>9</v>
      </c>
      <c r="H135" s="5">
        <v>4</v>
      </c>
      <c r="I135" s="6">
        <v>3500</v>
      </c>
      <c r="J135" s="7">
        <v>0</v>
      </c>
      <c r="K135" s="6">
        <v>14000</v>
      </c>
      <c r="L135" s="6">
        <v>8900.7900000000009</v>
      </c>
      <c r="M135" s="5">
        <v>5099.21</v>
      </c>
      <c r="N135" s="5" t="s">
        <v>66</v>
      </c>
      <c r="O135" s="2"/>
      <c r="P135" s="2"/>
    </row>
    <row r="136" spans="1:16">
      <c r="A136" s="5" t="s">
        <v>326</v>
      </c>
      <c r="B136" s="8">
        <v>45813</v>
      </c>
      <c r="C136" s="14">
        <f t="shared" si="2"/>
        <v>45809</v>
      </c>
      <c r="D136" s="5" t="s">
        <v>327</v>
      </c>
      <c r="E136" s="5" t="s">
        <v>17</v>
      </c>
      <c r="F136" s="5" t="s">
        <v>4</v>
      </c>
      <c r="G136" s="5" t="s">
        <v>10</v>
      </c>
      <c r="H136" s="5">
        <v>1</v>
      </c>
      <c r="I136" s="6">
        <v>3080</v>
      </c>
      <c r="J136" s="7">
        <v>0.1</v>
      </c>
      <c r="K136" s="6">
        <v>2772</v>
      </c>
      <c r="L136" s="6">
        <v>1808.65</v>
      </c>
      <c r="M136" s="5">
        <v>963.35</v>
      </c>
      <c r="N136" s="5" t="s">
        <v>66</v>
      </c>
      <c r="O136" s="2"/>
      <c r="P136" s="2"/>
    </row>
    <row r="137" spans="1:16">
      <c r="A137" s="5" t="s">
        <v>328</v>
      </c>
      <c r="B137" s="8">
        <v>45818</v>
      </c>
      <c r="C137" s="14">
        <f t="shared" si="2"/>
        <v>45809</v>
      </c>
      <c r="D137" s="5" t="s">
        <v>329</v>
      </c>
      <c r="E137" s="5" t="s">
        <v>130</v>
      </c>
      <c r="F137" s="5" t="s">
        <v>5</v>
      </c>
      <c r="G137" s="5" t="s">
        <v>10</v>
      </c>
      <c r="H137" s="5">
        <v>1</v>
      </c>
      <c r="I137" s="6">
        <v>3060</v>
      </c>
      <c r="J137" s="7">
        <v>0.05</v>
      </c>
      <c r="K137" s="6">
        <v>2907</v>
      </c>
      <c r="L137" s="6">
        <v>1975.85</v>
      </c>
      <c r="M137" s="5">
        <v>931.15</v>
      </c>
      <c r="N137" s="5" t="s">
        <v>63</v>
      </c>
      <c r="O137" s="2"/>
      <c r="P137" s="2"/>
    </row>
    <row r="138" spans="1:16">
      <c r="A138" s="5" t="s">
        <v>330</v>
      </c>
      <c r="B138" s="8">
        <v>45818</v>
      </c>
      <c r="C138" s="14">
        <f t="shared" si="2"/>
        <v>45809</v>
      </c>
      <c r="D138" s="5" t="s">
        <v>216</v>
      </c>
      <c r="E138" s="5" t="s">
        <v>125</v>
      </c>
      <c r="F138" s="5" t="s">
        <v>5</v>
      </c>
      <c r="G138" s="5" t="s">
        <v>11</v>
      </c>
      <c r="H138" s="5">
        <v>2</v>
      </c>
      <c r="I138" s="6">
        <v>1820</v>
      </c>
      <c r="J138" s="7">
        <v>0</v>
      </c>
      <c r="K138" s="6">
        <v>3640</v>
      </c>
      <c r="L138" s="6">
        <v>2059.4299999999998</v>
      </c>
      <c r="M138" s="5">
        <v>1580.57</v>
      </c>
      <c r="N138" s="5" t="s">
        <v>63</v>
      </c>
      <c r="O138" s="2"/>
      <c r="P138" s="2"/>
    </row>
    <row r="139" spans="1:16">
      <c r="A139" s="5" t="s">
        <v>331</v>
      </c>
      <c r="B139" s="8">
        <v>45818</v>
      </c>
      <c r="C139" s="14">
        <f t="shared" si="2"/>
        <v>45809</v>
      </c>
      <c r="D139" s="5" t="s">
        <v>332</v>
      </c>
      <c r="E139" s="5" t="s">
        <v>18</v>
      </c>
      <c r="F139" s="5" t="s">
        <v>3</v>
      </c>
      <c r="G139" s="5" t="s">
        <v>11</v>
      </c>
      <c r="H139" s="5">
        <v>3</v>
      </c>
      <c r="I139" s="6">
        <v>2550</v>
      </c>
      <c r="J139" s="7">
        <v>0.1</v>
      </c>
      <c r="K139" s="6">
        <v>6885</v>
      </c>
      <c r="L139" s="6">
        <v>4755.6099999999997</v>
      </c>
      <c r="M139" s="5">
        <v>2129.39</v>
      </c>
      <c r="N139" s="5" t="s">
        <v>62</v>
      </c>
      <c r="O139" s="2"/>
      <c r="P139" s="2"/>
    </row>
    <row r="140" spans="1:16">
      <c r="A140" s="5" t="s">
        <v>333</v>
      </c>
      <c r="B140" s="8">
        <v>45819</v>
      </c>
      <c r="C140" s="14">
        <f t="shared" si="2"/>
        <v>45809</v>
      </c>
      <c r="D140" s="5" t="s">
        <v>334</v>
      </c>
      <c r="E140" s="5" t="s">
        <v>16</v>
      </c>
      <c r="F140" s="5" t="s">
        <v>3</v>
      </c>
      <c r="G140" s="5" t="s">
        <v>11</v>
      </c>
      <c r="H140" s="5">
        <v>1</v>
      </c>
      <c r="I140" s="6">
        <v>4050</v>
      </c>
      <c r="J140" s="7">
        <v>0.15</v>
      </c>
      <c r="K140" s="6">
        <v>3442.5</v>
      </c>
      <c r="L140" s="6">
        <v>2429.06</v>
      </c>
      <c r="M140" s="5">
        <v>1013.44</v>
      </c>
      <c r="N140" s="5" t="s">
        <v>66</v>
      </c>
      <c r="O140" s="2"/>
      <c r="P140" s="2"/>
    </row>
    <row r="141" spans="1:16">
      <c r="A141" s="5" t="s">
        <v>335</v>
      </c>
      <c r="B141" s="8">
        <v>45819</v>
      </c>
      <c r="C141" s="14">
        <f t="shared" si="2"/>
        <v>45809</v>
      </c>
      <c r="D141" s="5" t="s">
        <v>229</v>
      </c>
      <c r="E141" s="5" t="s">
        <v>83</v>
      </c>
      <c r="F141" s="5" t="s">
        <v>4</v>
      </c>
      <c r="G141" s="5" t="s">
        <v>8</v>
      </c>
      <c r="H141" s="5">
        <v>3</v>
      </c>
      <c r="I141" s="6">
        <v>1570</v>
      </c>
      <c r="J141" s="7">
        <v>0.05</v>
      </c>
      <c r="K141" s="6">
        <v>4474.5</v>
      </c>
      <c r="L141" s="6">
        <v>2636.34</v>
      </c>
      <c r="M141" s="5">
        <v>1838.16</v>
      </c>
      <c r="N141" s="5" t="s">
        <v>66</v>
      </c>
      <c r="O141" s="2"/>
      <c r="P141" s="2"/>
    </row>
    <row r="142" spans="1:16">
      <c r="A142" s="5" t="s">
        <v>336</v>
      </c>
      <c r="B142" s="8">
        <v>45820</v>
      </c>
      <c r="C142" s="14">
        <f t="shared" si="2"/>
        <v>45809</v>
      </c>
      <c r="D142" s="5" t="s">
        <v>337</v>
      </c>
      <c r="E142" s="5" t="s">
        <v>121</v>
      </c>
      <c r="F142" s="5" t="s">
        <v>3</v>
      </c>
      <c r="G142" s="5" t="s">
        <v>10</v>
      </c>
      <c r="H142" s="5">
        <v>5</v>
      </c>
      <c r="I142" s="6">
        <v>1290</v>
      </c>
      <c r="J142" s="7">
        <v>0.05</v>
      </c>
      <c r="K142" s="6">
        <v>6127.5</v>
      </c>
      <c r="L142" s="6">
        <v>3878.61</v>
      </c>
      <c r="M142" s="5">
        <v>2248.89</v>
      </c>
      <c r="N142" s="5" t="s">
        <v>64</v>
      </c>
      <c r="O142" s="2"/>
      <c r="P142" s="2"/>
    </row>
    <row r="143" spans="1:16">
      <c r="A143" s="5" t="s">
        <v>338</v>
      </c>
      <c r="B143" s="8">
        <v>45821</v>
      </c>
      <c r="C143" s="14">
        <f t="shared" si="2"/>
        <v>45809</v>
      </c>
      <c r="D143" s="5" t="s">
        <v>124</v>
      </c>
      <c r="E143" s="5" t="s">
        <v>14</v>
      </c>
      <c r="F143" s="5" t="s">
        <v>5</v>
      </c>
      <c r="G143" s="5" t="s">
        <v>9</v>
      </c>
      <c r="H143" s="5">
        <v>1</v>
      </c>
      <c r="I143" s="6">
        <v>5310</v>
      </c>
      <c r="J143" s="7">
        <v>0.15</v>
      </c>
      <c r="K143" s="6">
        <v>4513.5</v>
      </c>
      <c r="L143" s="6">
        <v>3691.65</v>
      </c>
      <c r="M143" s="5">
        <v>821.85</v>
      </c>
      <c r="N143" s="5" t="s">
        <v>63</v>
      </c>
      <c r="O143" s="2"/>
      <c r="P143" s="2"/>
    </row>
    <row r="144" spans="1:16">
      <c r="A144" s="5" t="s">
        <v>339</v>
      </c>
      <c r="B144" s="8">
        <v>45822</v>
      </c>
      <c r="C144" s="14">
        <f t="shared" si="2"/>
        <v>45809</v>
      </c>
      <c r="D144" s="5" t="s">
        <v>173</v>
      </c>
      <c r="E144" s="5" t="s">
        <v>18</v>
      </c>
      <c r="F144" s="5" t="s">
        <v>3</v>
      </c>
      <c r="G144" s="5" t="s">
        <v>9</v>
      </c>
      <c r="H144" s="5">
        <v>2</v>
      </c>
      <c r="I144" s="6">
        <v>2570</v>
      </c>
      <c r="J144" s="7">
        <v>0.05</v>
      </c>
      <c r="K144" s="6">
        <v>4883</v>
      </c>
      <c r="L144" s="6">
        <v>3079.99</v>
      </c>
      <c r="M144" s="5">
        <v>1803.01</v>
      </c>
      <c r="N144" s="5" t="s">
        <v>64</v>
      </c>
      <c r="O144" s="2"/>
      <c r="P144" s="2"/>
    </row>
    <row r="145" spans="1:16">
      <c r="A145" s="5" t="s">
        <v>340</v>
      </c>
      <c r="B145" s="8">
        <v>45823</v>
      </c>
      <c r="C145" s="14">
        <f t="shared" si="2"/>
        <v>45809</v>
      </c>
      <c r="D145" s="5" t="s">
        <v>341</v>
      </c>
      <c r="E145" s="5" t="s">
        <v>342</v>
      </c>
      <c r="F145" s="5" t="s">
        <v>2</v>
      </c>
      <c r="G145" s="5" t="s">
        <v>8</v>
      </c>
      <c r="H145" s="5">
        <v>1</v>
      </c>
      <c r="I145" s="6">
        <v>2750</v>
      </c>
      <c r="J145" s="7">
        <v>0.1</v>
      </c>
      <c r="K145" s="6">
        <v>2475</v>
      </c>
      <c r="L145" s="6">
        <v>1656.28</v>
      </c>
      <c r="M145" s="5">
        <v>818.72</v>
      </c>
      <c r="N145" s="5" t="s">
        <v>66</v>
      </c>
      <c r="O145" s="2"/>
      <c r="P145" s="2"/>
    </row>
    <row r="146" spans="1:16">
      <c r="A146" s="5" t="s">
        <v>343</v>
      </c>
      <c r="B146" s="8">
        <v>45823</v>
      </c>
      <c r="C146" s="14">
        <f t="shared" si="2"/>
        <v>45809</v>
      </c>
      <c r="D146" s="5" t="s">
        <v>132</v>
      </c>
      <c r="E146" s="5" t="s">
        <v>17</v>
      </c>
      <c r="F146" s="5" t="s">
        <v>4</v>
      </c>
      <c r="G146" s="5" t="s">
        <v>11</v>
      </c>
      <c r="H146" s="5">
        <v>3</v>
      </c>
      <c r="I146" s="6">
        <v>2970</v>
      </c>
      <c r="J146" s="7">
        <v>0.05</v>
      </c>
      <c r="K146" s="6">
        <v>8464.5</v>
      </c>
      <c r="L146" s="6">
        <v>5652.7</v>
      </c>
      <c r="M146" s="5">
        <v>2811.8</v>
      </c>
      <c r="N146" s="5" t="s">
        <v>63</v>
      </c>
      <c r="O146" s="2"/>
      <c r="P146" s="2"/>
    </row>
    <row r="147" spans="1:16">
      <c r="A147" s="5" t="s">
        <v>344</v>
      </c>
      <c r="B147" s="8">
        <v>45825</v>
      </c>
      <c r="C147" s="14">
        <f t="shared" si="2"/>
        <v>45809</v>
      </c>
      <c r="D147" s="5" t="s">
        <v>345</v>
      </c>
      <c r="E147" s="5" t="s">
        <v>342</v>
      </c>
      <c r="F147" s="5" t="s">
        <v>2</v>
      </c>
      <c r="G147" s="5" t="s">
        <v>10</v>
      </c>
      <c r="H147" s="5">
        <v>2</v>
      </c>
      <c r="I147" s="6">
        <v>2710</v>
      </c>
      <c r="J147" s="7">
        <v>0</v>
      </c>
      <c r="K147" s="6">
        <v>5420</v>
      </c>
      <c r="L147" s="6">
        <v>3396.35</v>
      </c>
      <c r="M147" s="5">
        <v>2023.65</v>
      </c>
      <c r="N147" s="5" t="s">
        <v>62</v>
      </c>
      <c r="O147" s="2"/>
      <c r="P147" s="2"/>
    </row>
    <row r="148" spans="1:16">
      <c r="A148" s="5" t="s">
        <v>346</v>
      </c>
      <c r="B148" s="8">
        <v>45827</v>
      </c>
      <c r="C148" s="14">
        <f t="shared" si="2"/>
        <v>45809</v>
      </c>
      <c r="D148" s="5" t="s">
        <v>347</v>
      </c>
      <c r="E148" s="5" t="s">
        <v>90</v>
      </c>
      <c r="F148" s="5" t="s">
        <v>3</v>
      </c>
      <c r="G148" s="5" t="s">
        <v>10</v>
      </c>
      <c r="H148" s="5">
        <v>3</v>
      </c>
      <c r="I148" s="6">
        <v>1990</v>
      </c>
      <c r="J148" s="7">
        <v>0</v>
      </c>
      <c r="K148" s="6">
        <v>5970</v>
      </c>
      <c r="L148" s="6">
        <v>3498.3</v>
      </c>
      <c r="M148" s="5">
        <v>2471.6999999999998</v>
      </c>
      <c r="N148" s="5" t="s">
        <v>62</v>
      </c>
      <c r="O148" s="2"/>
      <c r="P148" s="2"/>
    </row>
    <row r="149" spans="1:16">
      <c r="A149" s="5" t="s">
        <v>348</v>
      </c>
      <c r="B149" s="8">
        <v>45828</v>
      </c>
      <c r="C149" s="14">
        <f t="shared" si="2"/>
        <v>45809</v>
      </c>
      <c r="D149" s="5" t="s">
        <v>349</v>
      </c>
      <c r="E149" s="5" t="s">
        <v>121</v>
      </c>
      <c r="F149" s="5" t="s">
        <v>3</v>
      </c>
      <c r="G149" s="5" t="s">
        <v>10</v>
      </c>
      <c r="H149" s="5">
        <v>3</v>
      </c>
      <c r="I149" s="6">
        <v>1300</v>
      </c>
      <c r="J149" s="7">
        <v>0</v>
      </c>
      <c r="K149" s="6">
        <v>3900</v>
      </c>
      <c r="L149" s="6">
        <v>2263.5300000000002</v>
      </c>
      <c r="M149" s="5">
        <v>1636.47</v>
      </c>
      <c r="N149" s="5" t="s">
        <v>66</v>
      </c>
      <c r="O149" s="2"/>
      <c r="P149" s="2"/>
    </row>
    <row r="150" spans="1:16">
      <c r="A150" s="5" t="s">
        <v>350</v>
      </c>
      <c r="B150" s="8">
        <v>45830</v>
      </c>
      <c r="C150" s="14">
        <f t="shared" si="2"/>
        <v>45809</v>
      </c>
      <c r="D150" s="5" t="s">
        <v>351</v>
      </c>
      <c r="E150" s="5" t="s">
        <v>221</v>
      </c>
      <c r="F150" s="5" t="s">
        <v>2</v>
      </c>
      <c r="G150" s="5" t="s">
        <v>10</v>
      </c>
      <c r="H150" s="5">
        <v>2</v>
      </c>
      <c r="I150" s="6">
        <v>1830</v>
      </c>
      <c r="J150" s="7">
        <v>0.25</v>
      </c>
      <c r="K150" s="6">
        <v>2745</v>
      </c>
      <c r="L150" s="6">
        <v>2106.79</v>
      </c>
      <c r="M150" s="5">
        <v>638.21</v>
      </c>
      <c r="N150" s="5" t="s">
        <v>62</v>
      </c>
      <c r="O150" s="2"/>
      <c r="P150" s="2"/>
    </row>
    <row r="151" spans="1:16">
      <c r="A151" s="5" t="s">
        <v>352</v>
      </c>
      <c r="B151" s="8">
        <v>45830</v>
      </c>
      <c r="C151" s="14">
        <f t="shared" si="2"/>
        <v>45809</v>
      </c>
      <c r="D151" s="5" t="s">
        <v>353</v>
      </c>
      <c r="E151" s="5" t="s">
        <v>95</v>
      </c>
      <c r="F151" s="5" t="s">
        <v>4</v>
      </c>
      <c r="G151" s="5" t="s">
        <v>10</v>
      </c>
      <c r="H151" s="5">
        <v>2</v>
      </c>
      <c r="I151" s="6">
        <v>1930</v>
      </c>
      <c r="J151" s="7">
        <v>0.15</v>
      </c>
      <c r="K151" s="6">
        <v>3281</v>
      </c>
      <c r="L151" s="6">
        <v>2242.6999999999998</v>
      </c>
      <c r="M151" s="5">
        <v>1038.3</v>
      </c>
      <c r="N151" s="5" t="s">
        <v>64</v>
      </c>
      <c r="O151" s="2"/>
      <c r="P151" s="2"/>
    </row>
    <row r="152" spans="1:16">
      <c r="A152" s="5" t="s">
        <v>354</v>
      </c>
      <c r="B152" s="8">
        <v>45830</v>
      </c>
      <c r="C152" s="14">
        <f t="shared" si="2"/>
        <v>45809</v>
      </c>
      <c r="D152" s="5" t="s">
        <v>355</v>
      </c>
      <c r="E152" s="5" t="s">
        <v>100</v>
      </c>
      <c r="F152" s="5" t="s">
        <v>4</v>
      </c>
      <c r="G152" s="5" t="s">
        <v>8</v>
      </c>
      <c r="H152" s="5">
        <v>1</v>
      </c>
      <c r="I152" s="6">
        <v>1470</v>
      </c>
      <c r="J152" s="7">
        <v>0.15</v>
      </c>
      <c r="K152" s="6">
        <v>1249.5</v>
      </c>
      <c r="L152" s="6">
        <v>869.01</v>
      </c>
      <c r="M152" s="5">
        <v>380.49</v>
      </c>
      <c r="N152" s="5" t="s">
        <v>64</v>
      </c>
      <c r="O152" s="2"/>
      <c r="P152" s="2"/>
    </row>
    <row r="153" spans="1:16">
      <c r="A153" s="5" t="s">
        <v>356</v>
      </c>
      <c r="B153" s="8">
        <v>45832</v>
      </c>
      <c r="C153" s="14">
        <f t="shared" si="2"/>
        <v>45809</v>
      </c>
      <c r="D153" s="5" t="s">
        <v>218</v>
      </c>
      <c r="E153" s="5" t="s">
        <v>100</v>
      </c>
      <c r="F153" s="5" t="s">
        <v>4</v>
      </c>
      <c r="G153" s="5" t="s">
        <v>9</v>
      </c>
      <c r="H153" s="5">
        <v>1</v>
      </c>
      <c r="I153" s="6">
        <v>1510</v>
      </c>
      <c r="J153" s="7">
        <v>0.1</v>
      </c>
      <c r="K153" s="6">
        <v>1359</v>
      </c>
      <c r="L153" s="6">
        <v>825.63</v>
      </c>
      <c r="M153" s="5">
        <v>533.37</v>
      </c>
      <c r="N153" s="5" t="s">
        <v>66</v>
      </c>
      <c r="O153" s="2"/>
      <c r="P153" s="2"/>
    </row>
    <row r="154" spans="1:16">
      <c r="A154" s="5" t="s">
        <v>357</v>
      </c>
      <c r="B154" s="8">
        <v>45834</v>
      </c>
      <c r="C154" s="14">
        <f t="shared" si="2"/>
        <v>45809</v>
      </c>
      <c r="D154" s="5" t="s">
        <v>358</v>
      </c>
      <c r="E154" s="5" t="s">
        <v>16</v>
      </c>
      <c r="F154" s="5" t="s">
        <v>3</v>
      </c>
      <c r="G154" s="5" t="s">
        <v>11</v>
      </c>
      <c r="H154" s="5">
        <v>2</v>
      </c>
      <c r="I154" s="6">
        <v>3890</v>
      </c>
      <c r="J154" s="7">
        <v>0.1</v>
      </c>
      <c r="K154" s="6">
        <v>7002</v>
      </c>
      <c r="L154" s="6">
        <v>5133.71</v>
      </c>
      <c r="M154" s="5">
        <v>1868.29</v>
      </c>
      <c r="N154" s="5" t="s">
        <v>66</v>
      </c>
      <c r="O154" s="2"/>
      <c r="P154" s="2"/>
    </row>
    <row r="155" spans="1:16">
      <c r="A155" s="5" t="s">
        <v>359</v>
      </c>
      <c r="B155" s="8">
        <v>45834</v>
      </c>
      <c r="C155" s="14">
        <f t="shared" si="2"/>
        <v>45809</v>
      </c>
      <c r="D155" s="5" t="s">
        <v>360</v>
      </c>
      <c r="E155" s="5" t="s">
        <v>17</v>
      </c>
      <c r="F155" s="5" t="s">
        <v>4</v>
      </c>
      <c r="G155" s="5" t="s">
        <v>10</v>
      </c>
      <c r="H155" s="5">
        <v>1</v>
      </c>
      <c r="I155" s="6">
        <v>3000</v>
      </c>
      <c r="J155" s="7">
        <v>0.1</v>
      </c>
      <c r="K155" s="6">
        <v>2700</v>
      </c>
      <c r="L155" s="6">
        <v>1826.49</v>
      </c>
      <c r="M155" s="5">
        <v>873.51</v>
      </c>
      <c r="N155" s="5" t="s">
        <v>66</v>
      </c>
      <c r="O155" s="2"/>
      <c r="P155" s="2"/>
    </row>
    <row r="156" spans="1:16">
      <c r="A156" s="5" t="s">
        <v>361</v>
      </c>
      <c r="B156" s="8">
        <v>45839</v>
      </c>
      <c r="C156" s="14">
        <f t="shared" si="2"/>
        <v>45839</v>
      </c>
      <c r="D156" s="5" t="s">
        <v>362</v>
      </c>
      <c r="E156" s="5" t="s">
        <v>100</v>
      </c>
      <c r="F156" s="5" t="s">
        <v>4</v>
      </c>
      <c r="G156" s="5" t="s">
        <v>10</v>
      </c>
      <c r="H156" s="5">
        <v>1</v>
      </c>
      <c r="I156" s="6">
        <v>1500</v>
      </c>
      <c r="J156" s="7">
        <v>0.2</v>
      </c>
      <c r="K156" s="6">
        <v>1200</v>
      </c>
      <c r="L156" s="6">
        <v>825.18</v>
      </c>
      <c r="M156" s="5">
        <v>374.82</v>
      </c>
      <c r="N156" s="5" t="s">
        <v>66</v>
      </c>
      <c r="O156" s="2"/>
      <c r="P156" s="2"/>
    </row>
    <row r="157" spans="1:16">
      <c r="A157" s="5" t="s">
        <v>363</v>
      </c>
      <c r="B157" s="8">
        <v>45840</v>
      </c>
      <c r="C157" s="14">
        <f t="shared" si="2"/>
        <v>45839</v>
      </c>
      <c r="D157" s="5" t="s">
        <v>114</v>
      </c>
      <c r="E157" s="5" t="s">
        <v>125</v>
      </c>
      <c r="F157" s="5" t="s">
        <v>5</v>
      </c>
      <c r="G157" s="5" t="s">
        <v>10</v>
      </c>
      <c r="H157" s="5">
        <v>3</v>
      </c>
      <c r="I157" s="6">
        <v>1820</v>
      </c>
      <c r="J157" s="7">
        <v>0.05</v>
      </c>
      <c r="K157" s="6">
        <v>5187</v>
      </c>
      <c r="L157" s="6">
        <v>3208.72</v>
      </c>
      <c r="M157" s="5">
        <v>1978.28</v>
      </c>
      <c r="N157" s="5" t="s">
        <v>66</v>
      </c>
      <c r="O157" s="2"/>
      <c r="P157" s="2"/>
    </row>
    <row r="158" spans="1:16">
      <c r="A158" s="5" t="s">
        <v>364</v>
      </c>
      <c r="B158" s="8">
        <v>45841</v>
      </c>
      <c r="C158" s="14">
        <f t="shared" si="2"/>
        <v>45839</v>
      </c>
      <c r="D158" s="5" t="s">
        <v>365</v>
      </c>
      <c r="E158" s="5" t="s">
        <v>78</v>
      </c>
      <c r="F158" s="5" t="s">
        <v>2</v>
      </c>
      <c r="G158" s="5" t="s">
        <v>11</v>
      </c>
      <c r="H158" s="5">
        <v>2</v>
      </c>
      <c r="I158" s="6">
        <v>3370</v>
      </c>
      <c r="J158" s="7">
        <v>0</v>
      </c>
      <c r="K158" s="6">
        <v>6740</v>
      </c>
      <c r="L158" s="6">
        <v>4151.6000000000004</v>
      </c>
      <c r="M158" s="5">
        <v>2588.4</v>
      </c>
      <c r="N158" s="5" t="s">
        <v>63</v>
      </c>
      <c r="O158" s="2"/>
      <c r="P158" s="2"/>
    </row>
    <row r="159" spans="1:16">
      <c r="A159" s="5" t="s">
        <v>366</v>
      </c>
      <c r="B159" s="8">
        <v>45844</v>
      </c>
      <c r="C159" s="14">
        <f t="shared" si="2"/>
        <v>45839</v>
      </c>
      <c r="D159" s="5" t="s">
        <v>367</v>
      </c>
      <c r="E159" s="5" t="s">
        <v>121</v>
      </c>
      <c r="F159" s="5" t="s">
        <v>3</v>
      </c>
      <c r="G159" s="5" t="s">
        <v>10</v>
      </c>
      <c r="H159" s="5">
        <v>1</v>
      </c>
      <c r="I159" s="6">
        <v>1300</v>
      </c>
      <c r="J159" s="7">
        <v>0.05</v>
      </c>
      <c r="K159" s="6">
        <v>1235</v>
      </c>
      <c r="L159" s="6">
        <v>769.58</v>
      </c>
      <c r="M159" s="5">
        <v>465.42</v>
      </c>
      <c r="N159" s="5" t="s">
        <v>62</v>
      </c>
      <c r="O159" s="2"/>
      <c r="P159" s="2"/>
    </row>
    <row r="160" spans="1:16">
      <c r="A160" s="5" t="s">
        <v>368</v>
      </c>
      <c r="B160" s="8">
        <v>45844</v>
      </c>
      <c r="C160" s="14">
        <f t="shared" si="2"/>
        <v>45839</v>
      </c>
      <c r="D160" s="5" t="s">
        <v>58</v>
      </c>
      <c r="E160" s="5" t="s">
        <v>14</v>
      </c>
      <c r="F160" s="5" t="s">
        <v>5</v>
      </c>
      <c r="G160" s="5" t="s">
        <v>11</v>
      </c>
      <c r="H160" s="5">
        <v>3</v>
      </c>
      <c r="I160" s="6">
        <v>5300</v>
      </c>
      <c r="J160" s="7">
        <v>0.05</v>
      </c>
      <c r="K160" s="6">
        <v>15105</v>
      </c>
      <c r="L160" s="6">
        <v>10857.25</v>
      </c>
      <c r="M160" s="5">
        <v>4247.75</v>
      </c>
      <c r="N160" s="5" t="s">
        <v>66</v>
      </c>
      <c r="O160" s="2"/>
      <c r="P160" s="2"/>
    </row>
    <row r="161" spans="1:16">
      <c r="A161" s="5" t="s">
        <v>369</v>
      </c>
      <c r="B161" s="8">
        <v>45845</v>
      </c>
      <c r="C161" s="14">
        <f t="shared" si="2"/>
        <v>45839</v>
      </c>
      <c r="D161" s="5" t="s">
        <v>370</v>
      </c>
      <c r="E161" s="5" t="s">
        <v>130</v>
      </c>
      <c r="F161" s="5" t="s">
        <v>5</v>
      </c>
      <c r="G161" s="5" t="s">
        <v>11</v>
      </c>
      <c r="H161" s="5">
        <v>1</v>
      </c>
      <c r="I161" s="6">
        <v>3090</v>
      </c>
      <c r="J161" s="7">
        <v>0</v>
      </c>
      <c r="K161" s="6">
        <v>3090</v>
      </c>
      <c r="L161" s="6">
        <v>1971.26</v>
      </c>
      <c r="M161" s="5">
        <v>1118.74</v>
      </c>
      <c r="N161" s="5" t="s">
        <v>64</v>
      </c>
      <c r="O161" s="2"/>
      <c r="P161" s="2"/>
    </row>
    <row r="162" spans="1:16">
      <c r="A162" s="5" t="s">
        <v>371</v>
      </c>
      <c r="B162" s="8">
        <v>45846</v>
      </c>
      <c r="C162" s="14">
        <f t="shared" si="2"/>
        <v>45839</v>
      </c>
      <c r="D162" s="5" t="s">
        <v>372</v>
      </c>
      <c r="E162" s="5" t="s">
        <v>17</v>
      </c>
      <c r="F162" s="5" t="s">
        <v>4</v>
      </c>
      <c r="G162" s="5" t="s">
        <v>11</v>
      </c>
      <c r="H162" s="5">
        <v>3</v>
      </c>
      <c r="I162" s="6">
        <v>2900</v>
      </c>
      <c r="J162" s="7">
        <v>0.1</v>
      </c>
      <c r="K162" s="6">
        <v>7830</v>
      </c>
      <c r="L162" s="6">
        <v>5571.93</v>
      </c>
      <c r="M162" s="5">
        <v>2258.0700000000002</v>
      </c>
      <c r="N162" s="5" t="s">
        <v>66</v>
      </c>
      <c r="O162" s="2"/>
      <c r="P162" s="2"/>
    </row>
    <row r="163" spans="1:16">
      <c r="A163" s="5" t="s">
        <v>373</v>
      </c>
      <c r="B163" s="8">
        <v>45847</v>
      </c>
      <c r="C163" s="14">
        <f t="shared" si="2"/>
        <v>45839</v>
      </c>
      <c r="D163" s="5" t="s">
        <v>374</v>
      </c>
      <c r="E163" s="5" t="s">
        <v>78</v>
      </c>
      <c r="F163" s="5" t="s">
        <v>2</v>
      </c>
      <c r="G163" s="5" t="s">
        <v>8</v>
      </c>
      <c r="H163" s="5">
        <v>1</v>
      </c>
      <c r="I163" s="6">
        <v>3390</v>
      </c>
      <c r="J163" s="7">
        <v>0.1</v>
      </c>
      <c r="K163" s="6">
        <v>3051</v>
      </c>
      <c r="L163" s="6">
        <v>2098.2399999999998</v>
      </c>
      <c r="M163" s="5">
        <v>952.76</v>
      </c>
      <c r="N163" s="5" t="s">
        <v>66</v>
      </c>
      <c r="O163" s="2"/>
      <c r="P163" s="2"/>
    </row>
    <row r="164" spans="1:16">
      <c r="A164" s="5" t="s">
        <v>375</v>
      </c>
      <c r="B164" s="8">
        <v>45847</v>
      </c>
      <c r="C164" s="14">
        <f t="shared" si="2"/>
        <v>45839</v>
      </c>
      <c r="D164" s="5" t="s">
        <v>376</v>
      </c>
      <c r="E164" s="5" t="s">
        <v>83</v>
      </c>
      <c r="F164" s="5" t="s">
        <v>4</v>
      </c>
      <c r="G164" s="5" t="s">
        <v>11</v>
      </c>
      <c r="H164" s="5">
        <v>4</v>
      </c>
      <c r="I164" s="6">
        <v>1600</v>
      </c>
      <c r="J164" s="7">
        <v>0.1</v>
      </c>
      <c r="K164" s="6">
        <v>5760</v>
      </c>
      <c r="L164" s="6">
        <v>3510.37</v>
      </c>
      <c r="M164" s="5">
        <v>2249.63</v>
      </c>
      <c r="N164" s="5" t="s">
        <v>62</v>
      </c>
      <c r="O164" s="2"/>
      <c r="P164" s="2"/>
    </row>
    <row r="165" spans="1:16">
      <c r="A165" s="5" t="s">
        <v>377</v>
      </c>
      <c r="B165" s="8">
        <v>45848</v>
      </c>
      <c r="C165" s="14">
        <f t="shared" si="2"/>
        <v>45839</v>
      </c>
      <c r="D165" s="5" t="s">
        <v>378</v>
      </c>
      <c r="E165" s="5" t="s">
        <v>17</v>
      </c>
      <c r="F165" s="5" t="s">
        <v>4</v>
      </c>
      <c r="G165" s="5" t="s">
        <v>11</v>
      </c>
      <c r="H165" s="5">
        <v>1</v>
      </c>
      <c r="I165" s="6">
        <v>2900</v>
      </c>
      <c r="J165" s="7">
        <v>0.05</v>
      </c>
      <c r="K165" s="6">
        <v>2755</v>
      </c>
      <c r="L165" s="6">
        <v>1879.21</v>
      </c>
      <c r="M165" s="5">
        <v>875.79</v>
      </c>
      <c r="N165" s="5" t="s">
        <v>62</v>
      </c>
      <c r="O165" s="2"/>
      <c r="P165" s="2"/>
    </row>
    <row r="166" spans="1:16">
      <c r="A166" s="5" t="s">
        <v>379</v>
      </c>
      <c r="B166" s="8">
        <v>45849</v>
      </c>
      <c r="C166" s="14">
        <f t="shared" si="2"/>
        <v>45839</v>
      </c>
      <c r="D166" s="5" t="s">
        <v>87</v>
      </c>
      <c r="E166" s="5" t="s">
        <v>18</v>
      </c>
      <c r="F166" s="5" t="s">
        <v>3</v>
      </c>
      <c r="G166" s="5" t="s">
        <v>11</v>
      </c>
      <c r="H166" s="5">
        <v>1</v>
      </c>
      <c r="I166" s="6">
        <v>2520</v>
      </c>
      <c r="J166" s="7">
        <v>0.05</v>
      </c>
      <c r="K166" s="6">
        <v>2394</v>
      </c>
      <c r="L166" s="6">
        <v>1584.14</v>
      </c>
      <c r="M166" s="5">
        <v>809.86</v>
      </c>
      <c r="N166" s="5" t="s">
        <v>64</v>
      </c>
      <c r="O166" s="2"/>
      <c r="P166" s="2"/>
    </row>
    <row r="167" spans="1:16">
      <c r="A167" s="5" t="s">
        <v>380</v>
      </c>
      <c r="B167" s="8">
        <v>45849</v>
      </c>
      <c r="C167" s="14">
        <f t="shared" si="2"/>
        <v>45839</v>
      </c>
      <c r="D167" s="5" t="s">
        <v>187</v>
      </c>
      <c r="E167" s="5" t="s">
        <v>221</v>
      </c>
      <c r="F167" s="5" t="s">
        <v>2</v>
      </c>
      <c r="G167" s="5" t="s">
        <v>8</v>
      </c>
      <c r="H167" s="5">
        <v>1</v>
      </c>
      <c r="I167" s="6">
        <v>1950</v>
      </c>
      <c r="J167" s="7">
        <v>0</v>
      </c>
      <c r="K167" s="6">
        <v>1950</v>
      </c>
      <c r="L167" s="6">
        <v>1068.96</v>
      </c>
      <c r="M167" s="5">
        <v>881.04</v>
      </c>
      <c r="N167" s="5" t="s">
        <v>63</v>
      </c>
      <c r="O167" s="2"/>
      <c r="P167" s="2"/>
    </row>
    <row r="168" spans="1:16">
      <c r="A168" s="5" t="s">
        <v>381</v>
      </c>
      <c r="B168" s="8">
        <v>45852</v>
      </c>
      <c r="C168" s="14">
        <f t="shared" si="2"/>
        <v>45839</v>
      </c>
      <c r="D168" s="5" t="s">
        <v>382</v>
      </c>
      <c r="E168" s="5" t="s">
        <v>125</v>
      </c>
      <c r="F168" s="5" t="s">
        <v>5</v>
      </c>
      <c r="G168" s="5" t="s">
        <v>11</v>
      </c>
      <c r="H168" s="5">
        <v>2</v>
      </c>
      <c r="I168" s="6">
        <v>1850</v>
      </c>
      <c r="J168" s="7">
        <v>0.05</v>
      </c>
      <c r="K168" s="6">
        <v>3515</v>
      </c>
      <c r="L168" s="6">
        <v>2080.48</v>
      </c>
      <c r="M168" s="5">
        <v>1434.52</v>
      </c>
      <c r="N168" s="5" t="s">
        <v>65</v>
      </c>
      <c r="O168" s="2"/>
      <c r="P168" s="2"/>
    </row>
    <row r="169" spans="1:16">
      <c r="A169" s="5" t="s">
        <v>383</v>
      </c>
      <c r="B169" s="8">
        <v>45852</v>
      </c>
      <c r="C169" s="14">
        <f t="shared" si="2"/>
        <v>45839</v>
      </c>
      <c r="D169" s="5" t="s">
        <v>384</v>
      </c>
      <c r="E169" s="5" t="s">
        <v>18</v>
      </c>
      <c r="F169" s="5" t="s">
        <v>3</v>
      </c>
      <c r="G169" s="5" t="s">
        <v>8</v>
      </c>
      <c r="H169" s="5">
        <v>3</v>
      </c>
      <c r="I169" s="6">
        <v>2510</v>
      </c>
      <c r="J169" s="7">
        <v>0.1</v>
      </c>
      <c r="K169" s="6">
        <v>6777</v>
      </c>
      <c r="L169" s="6">
        <v>4534.7700000000004</v>
      </c>
      <c r="M169" s="5">
        <v>2242.23</v>
      </c>
      <c r="N169" s="5" t="s">
        <v>62</v>
      </c>
      <c r="O169" s="2"/>
      <c r="P169" s="2"/>
    </row>
    <row r="170" spans="1:16">
      <c r="A170" s="5" t="s">
        <v>385</v>
      </c>
      <c r="B170" s="8">
        <v>45853</v>
      </c>
      <c r="C170" s="14">
        <f t="shared" si="2"/>
        <v>45839</v>
      </c>
      <c r="D170" s="5" t="s">
        <v>386</v>
      </c>
      <c r="E170" s="5" t="s">
        <v>130</v>
      </c>
      <c r="F170" s="5" t="s">
        <v>5</v>
      </c>
      <c r="G170" s="5" t="s">
        <v>9</v>
      </c>
      <c r="H170" s="5">
        <v>4</v>
      </c>
      <c r="I170" s="6">
        <v>2980</v>
      </c>
      <c r="J170" s="7">
        <v>0</v>
      </c>
      <c r="K170" s="6">
        <v>11920</v>
      </c>
      <c r="L170" s="6">
        <v>8018.83</v>
      </c>
      <c r="M170" s="5">
        <v>3901.17</v>
      </c>
      <c r="N170" s="5" t="s">
        <v>66</v>
      </c>
      <c r="O170" s="2"/>
      <c r="P170" s="2"/>
    </row>
    <row r="171" spans="1:16">
      <c r="A171" s="5" t="s">
        <v>387</v>
      </c>
      <c r="B171" s="8">
        <v>45855</v>
      </c>
      <c r="C171" s="14">
        <f t="shared" si="2"/>
        <v>45839</v>
      </c>
      <c r="D171" s="5" t="s">
        <v>82</v>
      </c>
      <c r="E171" s="5" t="s">
        <v>95</v>
      </c>
      <c r="F171" s="5" t="s">
        <v>4</v>
      </c>
      <c r="G171" s="5" t="s">
        <v>8</v>
      </c>
      <c r="H171" s="5">
        <v>3</v>
      </c>
      <c r="I171" s="6">
        <v>1960</v>
      </c>
      <c r="J171" s="7">
        <v>0.15</v>
      </c>
      <c r="K171" s="6">
        <v>4998</v>
      </c>
      <c r="L171" s="6">
        <v>3513.56</v>
      </c>
      <c r="M171" s="5">
        <v>1484.44</v>
      </c>
      <c r="N171" s="5" t="s">
        <v>64</v>
      </c>
      <c r="O171" s="2"/>
      <c r="P171" s="2"/>
    </row>
    <row r="172" spans="1:16">
      <c r="A172" s="5" t="s">
        <v>388</v>
      </c>
      <c r="B172" s="8">
        <v>45856</v>
      </c>
      <c r="C172" s="14">
        <f t="shared" si="2"/>
        <v>45839</v>
      </c>
      <c r="D172" s="5" t="s">
        <v>389</v>
      </c>
      <c r="E172" s="5" t="s">
        <v>221</v>
      </c>
      <c r="F172" s="5" t="s">
        <v>2</v>
      </c>
      <c r="G172" s="5" t="s">
        <v>9</v>
      </c>
      <c r="H172" s="5">
        <v>1</v>
      </c>
      <c r="I172" s="6">
        <v>1920</v>
      </c>
      <c r="J172" s="7">
        <v>0.2</v>
      </c>
      <c r="K172" s="6">
        <v>1536</v>
      </c>
      <c r="L172" s="6">
        <v>1068.68</v>
      </c>
      <c r="M172" s="5">
        <v>467.32</v>
      </c>
      <c r="N172" s="5" t="s">
        <v>66</v>
      </c>
      <c r="O172" s="2"/>
      <c r="P172" s="2"/>
    </row>
    <row r="173" spans="1:16">
      <c r="A173" s="5" t="s">
        <v>390</v>
      </c>
      <c r="B173" s="8">
        <v>45858</v>
      </c>
      <c r="C173" s="14">
        <f t="shared" si="2"/>
        <v>45839</v>
      </c>
      <c r="D173" s="5" t="s">
        <v>391</v>
      </c>
      <c r="E173" s="5" t="s">
        <v>121</v>
      </c>
      <c r="F173" s="5" t="s">
        <v>3</v>
      </c>
      <c r="G173" s="5" t="s">
        <v>8</v>
      </c>
      <c r="H173" s="5">
        <v>3</v>
      </c>
      <c r="I173" s="6">
        <v>1310</v>
      </c>
      <c r="J173" s="7">
        <v>0.15</v>
      </c>
      <c r="K173" s="6">
        <v>3340.5</v>
      </c>
      <c r="L173" s="6">
        <v>2282.39</v>
      </c>
      <c r="M173" s="5">
        <v>1058.1099999999999</v>
      </c>
      <c r="N173" s="5" t="s">
        <v>64</v>
      </c>
      <c r="O173" s="2"/>
      <c r="P173" s="2"/>
    </row>
    <row r="174" spans="1:16">
      <c r="A174" s="5" t="s">
        <v>392</v>
      </c>
      <c r="B174" s="8">
        <v>45860</v>
      </c>
      <c r="C174" s="14">
        <f t="shared" si="2"/>
        <v>45839</v>
      </c>
      <c r="D174" s="5" t="s">
        <v>393</v>
      </c>
      <c r="E174" s="5" t="s">
        <v>90</v>
      </c>
      <c r="F174" s="5" t="s">
        <v>3</v>
      </c>
      <c r="G174" s="5" t="s">
        <v>8</v>
      </c>
      <c r="H174" s="5">
        <v>4</v>
      </c>
      <c r="I174" s="6">
        <v>1990</v>
      </c>
      <c r="J174" s="7">
        <v>0</v>
      </c>
      <c r="K174" s="6">
        <v>7960</v>
      </c>
      <c r="L174" s="6">
        <v>4730.93</v>
      </c>
      <c r="M174" s="5">
        <v>3229.07</v>
      </c>
      <c r="N174" s="5" t="s">
        <v>63</v>
      </c>
      <c r="O174" s="2"/>
      <c r="P174" s="2"/>
    </row>
    <row r="175" spans="1:16">
      <c r="A175" s="5" t="s">
        <v>394</v>
      </c>
      <c r="B175" s="8">
        <v>45863</v>
      </c>
      <c r="C175" s="14">
        <f t="shared" si="2"/>
        <v>45839</v>
      </c>
      <c r="D175" s="5" t="s">
        <v>293</v>
      </c>
      <c r="E175" s="5" t="s">
        <v>18</v>
      </c>
      <c r="F175" s="5" t="s">
        <v>3</v>
      </c>
      <c r="G175" s="5" t="s">
        <v>9</v>
      </c>
      <c r="H175" s="5">
        <v>2</v>
      </c>
      <c r="I175" s="6">
        <v>2400</v>
      </c>
      <c r="J175" s="7">
        <v>0.15</v>
      </c>
      <c r="K175" s="6">
        <v>4080</v>
      </c>
      <c r="L175" s="6">
        <v>3067.1</v>
      </c>
      <c r="M175" s="5">
        <v>1012.9</v>
      </c>
      <c r="N175" s="5" t="s">
        <v>63</v>
      </c>
      <c r="O175" s="2"/>
      <c r="P175" s="2"/>
    </row>
    <row r="176" spans="1:16">
      <c r="A176" s="5" t="s">
        <v>395</v>
      </c>
      <c r="B176" s="8">
        <v>45866</v>
      </c>
      <c r="C176" s="14">
        <f t="shared" si="2"/>
        <v>45839</v>
      </c>
      <c r="D176" s="5" t="s">
        <v>396</v>
      </c>
      <c r="E176" s="5" t="s">
        <v>130</v>
      </c>
      <c r="F176" s="5" t="s">
        <v>5</v>
      </c>
      <c r="G176" s="5" t="s">
        <v>10</v>
      </c>
      <c r="H176" s="5">
        <v>2</v>
      </c>
      <c r="I176" s="6">
        <v>2910</v>
      </c>
      <c r="J176" s="7">
        <v>0.05</v>
      </c>
      <c r="K176" s="6">
        <v>5529</v>
      </c>
      <c r="L176" s="6">
        <v>3978.37</v>
      </c>
      <c r="M176" s="5">
        <v>1550.63</v>
      </c>
      <c r="N176" s="5" t="s">
        <v>63</v>
      </c>
      <c r="O176" s="2"/>
      <c r="P176" s="2"/>
    </row>
    <row r="177" spans="1:16">
      <c r="A177" s="5" t="s">
        <v>397</v>
      </c>
      <c r="B177" s="8">
        <v>45867</v>
      </c>
      <c r="C177" s="14">
        <f t="shared" si="2"/>
        <v>45839</v>
      </c>
      <c r="D177" s="5" t="s">
        <v>398</v>
      </c>
      <c r="E177" s="5" t="s">
        <v>83</v>
      </c>
      <c r="F177" s="5" t="s">
        <v>4</v>
      </c>
      <c r="G177" s="5" t="s">
        <v>9</v>
      </c>
      <c r="H177" s="5">
        <v>3</v>
      </c>
      <c r="I177" s="6">
        <v>1610</v>
      </c>
      <c r="J177" s="7">
        <v>0.2</v>
      </c>
      <c r="K177" s="6">
        <v>3864</v>
      </c>
      <c r="L177" s="6">
        <v>2731.86</v>
      </c>
      <c r="M177" s="5">
        <v>1132.1400000000001</v>
      </c>
      <c r="N177" s="5" t="s">
        <v>66</v>
      </c>
      <c r="O177" s="2"/>
      <c r="P177" s="2"/>
    </row>
    <row r="178" spans="1:16">
      <c r="A178" s="5" t="s">
        <v>399</v>
      </c>
      <c r="B178" s="8">
        <v>45870</v>
      </c>
      <c r="C178" s="14">
        <f t="shared" si="2"/>
        <v>45870</v>
      </c>
      <c r="D178" s="5" t="s">
        <v>400</v>
      </c>
      <c r="E178" s="5" t="s">
        <v>121</v>
      </c>
      <c r="F178" s="5" t="s">
        <v>3</v>
      </c>
      <c r="G178" s="5" t="s">
        <v>9</v>
      </c>
      <c r="H178" s="5">
        <v>1</v>
      </c>
      <c r="I178" s="6">
        <v>1310</v>
      </c>
      <c r="J178" s="7">
        <v>0.2</v>
      </c>
      <c r="K178" s="6">
        <v>1048</v>
      </c>
      <c r="L178" s="6">
        <v>771.43</v>
      </c>
      <c r="M178" s="5">
        <v>276.57</v>
      </c>
      <c r="N178" s="5" t="s">
        <v>66</v>
      </c>
      <c r="O178" s="2"/>
      <c r="P178" s="2"/>
    </row>
    <row r="179" spans="1:16">
      <c r="A179" s="5" t="s">
        <v>401</v>
      </c>
      <c r="B179" s="8">
        <v>45871</v>
      </c>
      <c r="C179" s="14">
        <f t="shared" si="2"/>
        <v>45870</v>
      </c>
      <c r="D179" s="5" t="s">
        <v>402</v>
      </c>
      <c r="E179" s="5" t="s">
        <v>17</v>
      </c>
      <c r="F179" s="5" t="s">
        <v>4</v>
      </c>
      <c r="G179" s="5" t="s">
        <v>10</v>
      </c>
      <c r="H179" s="5">
        <v>4</v>
      </c>
      <c r="I179" s="6">
        <v>2950</v>
      </c>
      <c r="J179" s="7">
        <v>0</v>
      </c>
      <c r="K179" s="6">
        <v>11800</v>
      </c>
      <c r="L179" s="6">
        <v>7535.95</v>
      </c>
      <c r="M179" s="5">
        <v>4264.05</v>
      </c>
      <c r="N179" s="5" t="s">
        <v>62</v>
      </c>
      <c r="O179" s="2"/>
      <c r="P179" s="2"/>
    </row>
    <row r="180" spans="1:16">
      <c r="A180" s="5" t="s">
        <v>403</v>
      </c>
      <c r="B180" s="8">
        <v>45871</v>
      </c>
      <c r="C180" s="14">
        <f t="shared" si="2"/>
        <v>45870</v>
      </c>
      <c r="D180" s="5" t="s">
        <v>384</v>
      </c>
      <c r="E180" s="5" t="s">
        <v>18</v>
      </c>
      <c r="F180" s="5" t="s">
        <v>3</v>
      </c>
      <c r="G180" s="5" t="s">
        <v>10</v>
      </c>
      <c r="H180" s="5">
        <v>2</v>
      </c>
      <c r="I180" s="6">
        <v>2520</v>
      </c>
      <c r="J180" s="7">
        <v>0.2</v>
      </c>
      <c r="K180" s="6">
        <v>4032</v>
      </c>
      <c r="L180" s="6">
        <v>3095.05</v>
      </c>
      <c r="M180" s="5">
        <v>936.95</v>
      </c>
      <c r="N180" s="5" t="s">
        <v>62</v>
      </c>
      <c r="O180" s="2"/>
      <c r="P180" s="2"/>
    </row>
    <row r="181" spans="1:16">
      <c r="A181" s="5" t="s">
        <v>404</v>
      </c>
      <c r="B181" s="8">
        <v>45871</v>
      </c>
      <c r="C181" s="14">
        <f t="shared" si="2"/>
        <v>45870</v>
      </c>
      <c r="D181" s="5" t="s">
        <v>405</v>
      </c>
      <c r="E181" s="5" t="s">
        <v>121</v>
      </c>
      <c r="F181" s="5" t="s">
        <v>3</v>
      </c>
      <c r="G181" s="5" t="s">
        <v>11</v>
      </c>
      <c r="H181" s="5">
        <v>2</v>
      </c>
      <c r="I181" s="6">
        <v>1260</v>
      </c>
      <c r="J181" s="7">
        <v>0.2</v>
      </c>
      <c r="K181" s="6">
        <v>2016</v>
      </c>
      <c r="L181" s="6">
        <v>1544.12</v>
      </c>
      <c r="M181" s="5">
        <v>471.88</v>
      </c>
      <c r="N181" s="5" t="s">
        <v>66</v>
      </c>
      <c r="O181" s="2"/>
      <c r="P181" s="2"/>
    </row>
    <row r="182" spans="1:16">
      <c r="A182" s="5" t="s">
        <v>406</v>
      </c>
      <c r="B182" s="8">
        <v>45874</v>
      </c>
      <c r="C182" s="14">
        <f t="shared" si="2"/>
        <v>45870</v>
      </c>
      <c r="D182" s="5" t="s">
        <v>407</v>
      </c>
      <c r="E182" s="5" t="s">
        <v>18</v>
      </c>
      <c r="F182" s="5" t="s">
        <v>3</v>
      </c>
      <c r="G182" s="5" t="s">
        <v>10</v>
      </c>
      <c r="H182" s="5">
        <v>1</v>
      </c>
      <c r="I182" s="6">
        <v>2410</v>
      </c>
      <c r="J182" s="7">
        <v>0.15</v>
      </c>
      <c r="K182" s="6">
        <v>2048.5</v>
      </c>
      <c r="L182" s="6">
        <v>1595.28</v>
      </c>
      <c r="M182" s="5">
        <v>453.22</v>
      </c>
      <c r="N182" s="5" t="s">
        <v>63</v>
      </c>
      <c r="O182" s="2"/>
      <c r="P182" s="2"/>
    </row>
    <row r="183" spans="1:16">
      <c r="A183" s="5" t="s">
        <v>408</v>
      </c>
      <c r="B183" s="8">
        <v>45875</v>
      </c>
      <c r="C183" s="14">
        <f t="shared" si="2"/>
        <v>45870</v>
      </c>
      <c r="D183" s="5" t="s">
        <v>82</v>
      </c>
      <c r="E183" s="5" t="s">
        <v>100</v>
      </c>
      <c r="F183" s="5" t="s">
        <v>4</v>
      </c>
      <c r="G183" s="5" t="s">
        <v>10</v>
      </c>
      <c r="H183" s="5">
        <v>3</v>
      </c>
      <c r="I183" s="6">
        <v>1520</v>
      </c>
      <c r="J183" s="7">
        <v>0.05</v>
      </c>
      <c r="K183" s="6">
        <v>4332</v>
      </c>
      <c r="L183" s="6">
        <v>2564.65</v>
      </c>
      <c r="M183" s="5">
        <v>1767.35</v>
      </c>
      <c r="N183" s="5" t="s">
        <v>62</v>
      </c>
      <c r="O183" s="2"/>
      <c r="P183" s="2"/>
    </row>
    <row r="184" spans="1:16">
      <c r="A184" s="5" t="s">
        <v>409</v>
      </c>
      <c r="B184" s="8">
        <v>45877</v>
      </c>
      <c r="C184" s="14">
        <f t="shared" si="2"/>
        <v>45870</v>
      </c>
      <c r="D184" s="5" t="s">
        <v>410</v>
      </c>
      <c r="E184" s="5" t="s">
        <v>16</v>
      </c>
      <c r="F184" s="5" t="s">
        <v>3</v>
      </c>
      <c r="G184" s="5" t="s">
        <v>10</v>
      </c>
      <c r="H184" s="5">
        <v>3</v>
      </c>
      <c r="I184" s="6">
        <v>3990</v>
      </c>
      <c r="J184" s="7">
        <v>0.15</v>
      </c>
      <c r="K184" s="6">
        <v>10174.5</v>
      </c>
      <c r="L184" s="6">
        <v>7319.03</v>
      </c>
      <c r="M184" s="5">
        <v>2855.47</v>
      </c>
      <c r="N184" s="5" t="s">
        <v>66</v>
      </c>
      <c r="O184" s="2"/>
      <c r="P184" s="2"/>
    </row>
    <row r="185" spans="1:16">
      <c r="A185" s="5" t="s">
        <v>411</v>
      </c>
      <c r="B185" s="8">
        <v>45878</v>
      </c>
      <c r="C185" s="14">
        <f t="shared" si="2"/>
        <v>45870</v>
      </c>
      <c r="D185" s="5" t="s">
        <v>412</v>
      </c>
      <c r="E185" s="5" t="s">
        <v>221</v>
      </c>
      <c r="F185" s="5" t="s">
        <v>2</v>
      </c>
      <c r="G185" s="5" t="s">
        <v>11</v>
      </c>
      <c r="H185" s="5">
        <v>1</v>
      </c>
      <c r="I185" s="6">
        <v>1900</v>
      </c>
      <c r="J185" s="7">
        <v>0.1</v>
      </c>
      <c r="K185" s="6">
        <v>1710</v>
      </c>
      <c r="L185" s="6">
        <v>1056.8</v>
      </c>
      <c r="M185" s="5">
        <v>653.20000000000005</v>
      </c>
      <c r="N185" s="5" t="s">
        <v>63</v>
      </c>
      <c r="O185" s="2"/>
      <c r="P185" s="2"/>
    </row>
    <row r="186" spans="1:16">
      <c r="A186" s="5" t="s">
        <v>413</v>
      </c>
      <c r="B186" s="8">
        <v>45880</v>
      </c>
      <c r="C186" s="14">
        <f t="shared" si="2"/>
        <v>45870</v>
      </c>
      <c r="D186" s="5" t="s">
        <v>414</v>
      </c>
      <c r="E186" s="5" t="s">
        <v>342</v>
      </c>
      <c r="F186" s="5" t="s">
        <v>2</v>
      </c>
      <c r="G186" s="5" t="s">
        <v>10</v>
      </c>
      <c r="H186" s="5">
        <v>2</v>
      </c>
      <c r="I186" s="6">
        <v>2900</v>
      </c>
      <c r="J186" s="7">
        <v>0.15</v>
      </c>
      <c r="K186" s="6">
        <v>4930</v>
      </c>
      <c r="L186" s="6">
        <v>3337.23</v>
      </c>
      <c r="M186" s="5">
        <v>1592.77</v>
      </c>
      <c r="N186" s="5" t="s">
        <v>64</v>
      </c>
      <c r="O186" s="2"/>
      <c r="P186" s="2"/>
    </row>
    <row r="187" spans="1:16">
      <c r="A187" s="5" t="s">
        <v>415</v>
      </c>
      <c r="B187" s="8">
        <v>45880</v>
      </c>
      <c r="C187" s="14">
        <f t="shared" si="2"/>
        <v>45870</v>
      </c>
      <c r="D187" s="5" t="s">
        <v>416</v>
      </c>
      <c r="E187" s="5" t="s">
        <v>78</v>
      </c>
      <c r="F187" s="5" t="s">
        <v>2</v>
      </c>
      <c r="G187" s="5" t="s">
        <v>8</v>
      </c>
      <c r="H187" s="5">
        <v>3</v>
      </c>
      <c r="I187" s="6">
        <v>3450</v>
      </c>
      <c r="J187" s="7">
        <v>0</v>
      </c>
      <c r="K187" s="6">
        <v>10350</v>
      </c>
      <c r="L187" s="6">
        <v>6136.33</v>
      </c>
      <c r="M187" s="5">
        <v>4213.67</v>
      </c>
      <c r="N187" s="5" t="s">
        <v>63</v>
      </c>
      <c r="O187" s="2"/>
      <c r="P187" s="2"/>
    </row>
    <row r="188" spans="1:16">
      <c r="A188" s="5" t="s">
        <v>417</v>
      </c>
      <c r="B188" s="8">
        <v>45881</v>
      </c>
      <c r="C188" s="14">
        <f t="shared" si="2"/>
        <v>45870</v>
      </c>
      <c r="D188" s="5" t="s">
        <v>418</v>
      </c>
      <c r="E188" s="5" t="s">
        <v>18</v>
      </c>
      <c r="F188" s="5" t="s">
        <v>3</v>
      </c>
      <c r="G188" s="5" t="s">
        <v>11</v>
      </c>
      <c r="H188" s="5">
        <v>2</v>
      </c>
      <c r="I188" s="6">
        <v>2510</v>
      </c>
      <c r="J188" s="7">
        <v>0.1</v>
      </c>
      <c r="K188" s="6">
        <v>4518</v>
      </c>
      <c r="L188" s="6">
        <v>3167.8</v>
      </c>
      <c r="M188" s="5">
        <v>1350.2</v>
      </c>
      <c r="N188" s="5" t="s">
        <v>62</v>
      </c>
      <c r="O188" s="2"/>
      <c r="P188" s="2"/>
    </row>
    <row r="189" spans="1:16">
      <c r="A189" s="5" t="s">
        <v>419</v>
      </c>
      <c r="B189" s="8">
        <v>45882</v>
      </c>
      <c r="C189" s="14">
        <f t="shared" si="2"/>
        <v>45870</v>
      </c>
      <c r="D189" s="5" t="s">
        <v>58</v>
      </c>
      <c r="E189" s="5" t="s">
        <v>100</v>
      </c>
      <c r="F189" s="5" t="s">
        <v>4</v>
      </c>
      <c r="G189" s="5" t="s">
        <v>9</v>
      </c>
      <c r="H189" s="5">
        <v>2</v>
      </c>
      <c r="I189" s="6">
        <v>1450</v>
      </c>
      <c r="J189" s="7">
        <v>0.15</v>
      </c>
      <c r="K189" s="6">
        <v>2465</v>
      </c>
      <c r="L189" s="6">
        <v>1700.62</v>
      </c>
      <c r="M189" s="5">
        <v>764.38</v>
      </c>
      <c r="N189" s="5" t="s">
        <v>63</v>
      </c>
      <c r="O189" s="2"/>
      <c r="P189" s="2"/>
    </row>
    <row r="190" spans="1:16">
      <c r="A190" s="5" t="s">
        <v>420</v>
      </c>
      <c r="B190" s="8">
        <v>45884</v>
      </c>
      <c r="C190" s="14">
        <f t="shared" si="2"/>
        <v>45870</v>
      </c>
      <c r="D190" s="5" t="s">
        <v>421</v>
      </c>
      <c r="E190" s="5" t="s">
        <v>130</v>
      </c>
      <c r="F190" s="5" t="s">
        <v>5</v>
      </c>
      <c r="G190" s="5" t="s">
        <v>11</v>
      </c>
      <c r="H190" s="5">
        <v>1</v>
      </c>
      <c r="I190" s="6">
        <v>2970</v>
      </c>
      <c r="J190" s="7">
        <v>0.15</v>
      </c>
      <c r="K190" s="6">
        <v>2524.5</v>
      </c>
      <c r="L190" s="6">
        <v>1987.3</v>
      </c>
      <c r="M190" s="5">
        <v>537.20000000000005</v>
      </c>
      <c r="N190" s="5" t="s">
        <v>63</v>
      </c>
      <c r="O190" s="2"/>
      <c r="P190" s="2"/>
    </row>
    <row r="191" spans="1:16">
      <c r="A191" s="5" t="s">
        <v>422</v>
      </c>
      <c r="B191" s="8">
        <v>45884</v>
      </c>
      <c r="C191" s="14">
        <f t="shared" si="2"/>
        <v>45870</v>
      </c>
      <c r="D191" s="5" t="s">
        <v>423</v>
      </c>
      <c r="E191" s="5" t="s">
        <v>18</v>
      </c>
      <c r="F191" s="5" t="s">
        <v>3</v>
      </c>
      <c r="G191" s="5" t="s">
        <v>10</v>
      </c>
      <c r="H191" s="5">
        <v>3</v>
      </c>
      <c r="I191" s="6">
        <v>2540</v>
      </c>
      <c r="J191" s="7">
        <v>0.1</v>
      </c>
      <c r="K191" s="6">
        <v>6858</v>
      </c>
      <c r="L191" s="6">
        <v>4598.2</v>
      </c>
      <c r="M191" s="5">
        <v>2259.8000000000002</v>
      </c>
      <c r="N191" s="5" t="s">
        <v>62</v>
      </c>
      <c r="O191" s="2"/>
      <c r="P191" s="2"/>
    </row>
    <row r="192" spans="1:16">
      <c r="A192" s="5" t="s">
        <v>424</v>
      </c>
      <c r="B192" s="8">
        <v>45885</v>
      </c>
      <c r="C192" s="14">
        <f t="shared" si="2"/>
        <v>45870</v>
      </c>
      <c r="D192" s="5" t="s">
        <v>143</v>
      </c>
      <c r="E192" s="5" t="s">
        <v>18</v>
      </c>
      <c r="F192" s="5" t="s">
        <v>3</v>
      </c>
      <c r="G192" s="5" t="s">
        <v>10</v>
      </c>
      <c r="H192" s="5">
        <v>4</v>
      </c>
      <c r="I192" s="6">
        <v>2510</v>
      </c>
      <c r="J192" s="7">
        <v>0</v>
      </c>
      <c r="K192" s="6">
        <v>10040</v>
      </c>
      <c r="L192" s="6">
        <v>6166.93</v>
      </c>
      <c r="M192" s="5">
        <v>3873.07</v>
      </c>
      <c r="N192" s="5" t="s">
        <v>66</v>
      </c>
      <c r="O192" s="2"/>
      <c r="P192" s="2"/>
    </row>
    <row r="193" spans="1:16">
      <c r="A193" s="5" t="s">
        <v>425</v>
      </c>
      <c r="B193" s="8">
        <v>45885</v>
      </c>
      <c r="C193" s="14">
        <f t="shared" si="2"/>
        <v>45870</v>
      </c>
      <c r="D193" s="5" t="s">
        <v>405</v>
      </c>
      <c r="E193" s="5" t="s">
        <v>83</v>
      </c>
      <c r="F193" s="5" t="s">
        <v>4</v>
      </c>
      <c r="G193" s="5" t="s">
        <v>10</v>
      </c>
      <c r="H193" s="5">
        <v>3</v>
      </c>
      <c r="I193" s="6">
        <v>1600</v>
      </c>
      <c r="J193" s="7">
        <v>0.1</v>
      </c>
      <c r="K193" s="6">
        <v>4320</v>
      </c>
      <c r="L193" s="6">
        <v>2698.76</v>
      </c>
      <c r="M193" s="5">
        <v>1621.24</v>
      </c>
      <c r="N193" s="5" t="s">
        <v>66</v>
      </c>
      <c r="O193" s="2"/>
      <c r="P193" s="2"/>
    </row>
    <row r="194" spans="1:16">
      <c r="A194" s="5" t="s">
        <v>426</v>
      </c>
      <c r="B194" s="8">
        <v>45888</v>
      </c>
      <c r="C194" s="14">
        <f t="shared" ref="C194:C257" si="3">DATE(YEAR(B194),MONTH(B194),1)</f>
        <v>45870</v>
      </c>
      <c r="D194" s="5" t="s">
        <v>427</v>
      </c>
      <c r="E194" s="5" t="s">
        <v>15</v>
      </c>
      <c r="F194" s="5" t="s">
        <v>5</v>
      </c>
      <c r="G194" s="5" t="s">
        <v>11</v>
      </c>
      <c r="H194" s="5">
        <v>3</v>
      </c>
      <c r="I194" s="6">
        <v>3580</v>
      </c>
      <c r="J194" s="7">
        <v>0.15</v>
      </c>
      <c r="K194" s="6">
        <v>9129</v>
      </c>
      <c r="L194" s="6">
        <v>6458.68</v>
      </c>
      <c r="M194" s="5">
        <v>2670.32</v>
      </c>
      <c r="N194" s="5" t="s">
        <v>65</v>
      </c>
      <c r="O194" s="2"/>
      <c r="P194" s="2"/>
    </row>
    <row r="195" spans="1:16">
      <c r="A195" s="5" t="s">
        <v>428</v>
      </c>
      <c r="B195" s="8">
        <v>45890</v>
      </c>
      <c r="C195" s="14">
        <f t="shared" si="3"/>
        <v>45870</v>
      </c>
      <c r="D195" s="5" t="s">
        <v>165</v>
      </c>
      <c r="E195" s="5" t="s">
        <v>90</v>
      </c>
      <c r="F195" s="5" t="s">
        <v>3</v>
      </c>
      <c r="G195" s="5" t="s">
        <v>10</v>
      </c>
      <c r="H195" s="5">
        <v>5</v>
      </c>
      <c r="I195" s="6">
        <v>1980</v>
      </c>
      <c r="J195" s="7">
        <v>0.15</v>
      </c>
      <c r="K195" s="6">
        <v>8415</v>
      </c>
      <c r="L195" s="6">
        <v>6085.36</v>
      </c>
      <c r="M195" s="5">
        <v>2329.64</v>
      </c>
      <c r="N195" s="5" t="s">
        <v>66</v>
      </c>
      <c r="O195" s="2"/>
      <c r="P195" s="2"/>
    </row>
    <row r="196" spans="1:16">
      <c r="A196" s="5" t="s">
        <v>429</v>
      </c>
      <c r="B196" s="8">
        <v>45890</v>
      </c>
      <c r="C196" s="14">
        <f t="shared" si="3"/>
        <v>45870</v>
      </c>
      <c r="D196" s="5" t="s">
        <v>314</v>
      </c>
      <c r="E196" s="5" t="s">
        <v>149</v>
      </c>
      <c r="F196" s="5" t="s">
        <v>2</v>
      </c>
      <c r="G196" s="5" t="s">
        <v>11</v>
      </c>
      <c r="H196" s="5">
        <v>1</v>
      </c>
      <c r="I196" s="6">
        <v>2340</v>
      </c>
      <c r="J196" s="7">
        <v>0.25</v>
      </c>
      <c r="K196" s="6">
        <v>1755</v>
      </c>
      <c r="L196" s="6">
        <v>1304.51</v>
      </c>
      <c r="M196" s="5">
        <v>450.49</v>
      </c>
      <c r="N196" s="5" t="s">
        <v>64</v>
      </c>
      <c r="O196" s="2"/>
      <c r="P196" s="2"/>
    </row>
    <row r="197" spans="1:16">
      <c r="A197" s="5" t="s">
        <v>430</v>
      </c>
      <c r="B197" s="8">
        <v>45893</v>
      </c>
      <c r="C197" s="14">
        <f t="shared" si="3"/>
        <v>45870</v>
      </c>
      <c r="D197" s="5" t="s">
        <v>51</v>
      </c>
      <c r="E197" s="5" t="s">
        <v>95</v>
      </c>
      <c r="F197" s="5" t="s">
        <v>4</v>
      </c>
      <c r="G197" s="5" t="s">
        <v>10</v>
      </c>
      <c r="H197" s="5">
        <v>1</v>
      </c>
      <c r="I197" s="6">
        <v>1990</v>
      </c>
      <c r="J197" s="7">
        <v>0.1</v>
      </c>
      <c r="K197" s="6">
        <v>1791</v>
      </c>
      <c r="L197" s="6">
        <v>1165.1600000000001</v>
      </c>
      <c r="M197" s="5">
        <v>625.84</v>
      </c>
      <c r="N197" s="5" t="s">
        <v>62</v>
      </c>
      <c r="O197" s="2"/>
      <c r="P197" s="2"/>
    </row>
    <row r="198" spans="1:16">
      <c r="A198" s="5" t="s">
        <v>431</v>
      </c>
      <c r="B198" s="8">
        <v>45896</v>
      </c>
      <c r="C198" s="14">
        <f t="shared" si="3"/>
        <v>45870</v>
      </c>
      <c r="D198" s="5" t="s">
        <v>398</v>
      </c>
      <c r="E198" s="5" t="s">
        <v>130</v>
      </c>
      <c r="F198" s="5" t="s">
        <v>5</v>
      </c>
      <c r="G198" s="5" t="s">
        <v>9</v>
      </c>
      <c r="H198" s="5">
        <v>3</v>
      </c>
      <c r="I198" s="6">
        <v>2910</v>
      </c>
      <c r="J198" s="7">
        <v>0.2</v>
      </c>
      <c r="K198" s="6">
        <v>6984</v>
      </c>
      <c r="L198" s="6">
        <v>5744.89</v>
      </c>
      <c r="M198" s="5">
        <v>1239.1099999999999</v>
      </c>
      <c r="N198" s="5" t="s">
        <v>66</v>
      </c>
      <c r="O198" s="2"/>
      <c r="P198" s="2"/>
    </row>
    <row r="199" spans="1:16">
      <c r="A199" s="5" t="s">
        <v>432</v>
      </c>
      <c r="B199" s="8">
        <v>45897</v>
      </c>
      <c r="C199" s="14">
        <f t="shared" si="3"/>
        <v>45870</v>
      </c>
      <c r="D199" s="5" t="s">
        <v>314</v>
      </c>
      <c r="E199" s="5" t="s">
        <v>149</v>
      </c>
      <c r="F199" s="5" t="s">
        <v>2</v>
      </c>
      <c r="G199" s="5" t="s">
        <v>9</v>
      </c>
      <c r="H199" s="5">
        <v>1</v>
      </c>
      <c r="I199" s="6">
        <v>2370</v>
      </c>
      <c r="J199" s="7">
        <v>0</v>
      </c>
      <c r="K199" s="6">
        <v>2370</v>
      </c>
      <c r="L199" s="6">
        <v>1273.27</v>
      </c>
      <c r="M199" s="5">
        <v>1096.73</v>
      </c>
      <c r="N199" s="5" t="s">
        <v>63</v>
      </c>
      <c r="O199" s="2"/>
      <c r="P199" s="2"/>
    </row>
    <row r="200" spans="1:16">
      <c r="A200" s="5" t="s">
        <v>433</v>
      </c>
      <c r="B200" s="8">
        <v>45898</v>
      </c>
      <c r="C200" s="14">
        <f t="shared" si="3"/>
        <v>45870</v>
      </c>
      <c r="D200" s="5" t="s">
        <v>253</v>
      </c>
      <c r="E200" s="5" t="s">
        <v>90</v>
      </c>
      <c r="F200" s="5" t="s">
        <v>3</v>
      </c>
      <c r="G200" s="5" t="s">
        <v>10</v>
      </c>
      <c r="H200" s="5">
        <v>4</v>
      </c>
      <c r="I200" s="6">
        <v>1980</v>
      </c>
      <c r="J200" s="7">
        <v>0.05</v>
      </c>
      <c r="K200" s="6">
        <v>7524</v>
      </c>
      <c r="L200" s="6">
        <v>4873.6000000000004</v>
      </c>
      <c r="M200" s="5">
        <v>2650.4</v>
      </c>
      <c r="N200" s="5" t="s">
        <v>63</v>
      </c>
      <c r="O200" s="2"/>
      <c r="P200" s="2"/>
    </row>
    <row r="201" spans="1:16">
      <c r="A201" s="5" t="s">
        <v>434</v>
      </c>
      <c r="B201" s="8">
        <v>45899</v>
      </c>
      <c r="C201" s="14">
        <f t="shared" si="3"/>
        <v>45870</v>
      </c>
      <c r="D201" s="5" t="s">
        <v>435</v>
      </c>
      <c r="E201" s="5" t="s">
        <v>125</v>
      </c>
      <c r="F201" s="5" t="s">
        <v>5</v>
      </c>
      <c r="G201" s="5" t="s">
        <v>10</v>
      </c>
      <c r="H201" s="5">
        <v>1</v>
      </c>
      <c r="I201" s="6">
        <v>1730</v>
      </c>
      <c r="J201" s="7">
        <v>0.05</v>
      </c>
      <c r="K201" s="6">
        <v>1643.5</v>
      </c>
      <c r="L201" s="6">
        <v>1023.45</v>
      </c>
      <c r="M201" s="5">
        <v>620.04999999999995</v>
      </c>
      <c r="N201" s="5" t="s">
        <v>63</v>
      </c>
      <c r="O201" s="2"/>
      <c r="P201" s="2"/>
    </row>
    <row r="202" spans="1:16">
      <c r="A202" s="5" t="s">
        <v>436</v>
      </c>
      <c r="B202" s="8">
        <v>45899</v>
      </c>
      <c r="C202" s="14">
        <f t="shared" si="3"/>
        <v>45870</v>
      </c>
      <c r="D202" s="5" t="s">
        <v>437</v>
      </c>
      <c r="E202" s="5" t="s">
        <v>15</v>
      </c>
      <c r="F202" s="5" t="s">
        <v>5</v>
      </c>
      <c r="G202" s="5" t="s">
        <v>9</v>
      </c>
      <c r="H202" s="5">
        <v>1</v>
      </c>
      <c r="I202" s="6">
        <v>3460</v>
      </c>
      <c r="J202" s="7">
        <v>0</v>
      </c>
      <c r="K202" s="6">
        <v>3460</v>
      </c>
      <c r="L202" s="6">
        <v>2169.09</v>
      </c>
      <c r="M202" s="5">
        <v>1290.9100000000001</v>
      </c>
      <c r="N202" s="5" t="s">
        <v>66</v>
      </c>
      <c r="O202" s="2"/>
      <c r="P202" s="2"/>
    </row>
    <row r="203" spans="1:16">
      <c r="A203" s="5" t="s">
        <v>438</v>
      </c>
      <c r="B203" s="8">
        <v>45900</v>
      </c>
      <c r="C203" s="14">
        <f t="shared" si="3"/>
        <v>45870</v>
      </c>
      <c r="D203" s="5" t="s">
        <v>439</v>
      </c>
      <c r="E203" s="5" t="s">
        <v>78</v>
      </c>
      <c r="F203" s="5" t="s">
        <v>2</v>
      </c>
      <c r="G203" s="5" t="s">
        <v>10</v>
      </c>
      <c r="H203" s="5">
        <v>3</v>
      </c>
      <c r="I203" s="6">
        <v>3600</v>
      </c>
      <c r="J203" s="7">
        <v>0.1</v>
      </c>
      <c r="K203" s="6">
        <v>9720</v>
      </c>
      <c r="L203" s="6">
        <v>6414.79</v>
      </c>
      <c r="M203" s="5">
        <v>3305.21</v>
      </c>
      <c r="N203" s="5" t="s">
        <v>62</v>
      </c>
      <c r="O203" s="2"/>
      <c r="P203" s="2"/>
    </row>
    <row r="204" spans="1:16">
      <c r="A204" s="5" t="s">
        <v>440</v>
      </c>
      <c r="B204" s="8">
        <v>45900</v>
      </c>
      <c r="C204" s="14">
        <f t="shared" si="3"/>
        <v>45870</v>
      </c>
      <c r="D204" s="5" t="s">
        <v>106</v>
      </c>
      <c r="E204" s="5" t="s">
        <v>125</v>
      </c>
      <c r="F204" s="5" t="s">
        <v>5</v>
      </c>
      <c r="G204" s="5" t="s">
        <v>9</v>
      </c>
      <c r="H204" s="5">
        <v>1</v>
      </c>
      <c r="I204" s="6">
        <v>1770</v>
      </c>
      <c r="J204" s="7">
        <v>0</v>
      </c>
      <c r="K204" s="6">
        <v>1770</v>
      </c>
      <c r="L204" s="6">
        <v>1066.18</v>
      </c>
      <c r="M204" s="5">
        <v>703.82</v>
      </c>
      <c r="N204" s="5" t="s">
        <v>66</v>
      </c>
      <c r="O204" s="2"/>
      <c r="P204" s="2"/>
    </row>
    <row r="205" spans="1:16">
      <c r="A205" s="5" t="s">
        <v>441</v>
      </c>
      <c r="B205" s="8">
        <v>45900</v>
      </c>
      <c r="C205" s="14">
        <f t="shared" si="3"/>
        <v>45870</v>
      </c>
      <c r="D205" s="5" t="s">
        <v>201</v>
      </c>
      <c r="E205" s="5" t="s">
        <v>17</v>
      </c>
      <c r="F205" s="5" t="s">
        <v>4</v>
      </c>
      <c r="G205" s="5" t="s">
        <v>11</v>
      </c>
      <c r="H205" s="5">
        <v>2</v>
      </c>
      <c r="I205" s="6">
        <v>2890</v>
      </c>
      <c r="J205" s="7">
        <v>0.05</v>
      </c>
      <c r="K205" s="6">
        <v>5491</v>
      </c>
      <c r="L205" s="6">
        <v>3652.17</v>
      </c>
      <c r="M205" s="5">
        <v>1838.83</v>
      </c>
      <c r="N205" s="5" t="s">
        <v>64</v>
      </c>
      <c r="O205" s="2"/>
      <c r="P205" s="2"/>
    </row>
    <row r="206" spans="1:16">
      <c r="A206" s="5" t="s">
        <v>442</v>
      </c>
      <c r="B206" s="8">
        <v>45901</v>
      </c>
      <c r="C206" s="14">
        <f t="shared" si="3"/>
        <v>45901</v>
      </c>
      <c r="D206" s="5" t="s">
        <v>220</v>
      </c>
      <c r="E206" s="5" t="s">
        <v>149</v>
      </c>
      <c r="F206" s="5" t="s">
        <v>2</v>
      </c>
      <c r="G206" s="5" t="s">
        <v>10</v>
      </c>
      <c r="H206" s="5">
        <v>1</v>
      </c>
      <c r="I206" s="6">
        <v>2280</v>
      </c>
      <c r="J206" s="7">
        <v>0.15</v>
      </c>
      <c r="K206" s="6">
        <v>1938</v>
      </c>
      <c r="L206" s="6">
        <v>1329.48</v>
      </c>
      <c r="M206" s="5">
        <v>608.52</v>
      </c>
      <c r="N206" s="5" t="s">
        <v>62</v>
      </c>
      <c r="O206" s="2"/>
      <c r="P206" s="2"/>
    </row>
    <row r="207" spans="1:16">
      <c r="A207" s="5" t="s">
        <v>443</v>
      </c>
      <c r="B207" s="8">
        <v>45902</v>
      </c>
      <c r="C207" s="14">
        <f t="shared" si="3"/>
        <v>45901</v>
      </c>
      <c r="D207" s="5" t="s">
        <v>444</v>
      </c>
      <c r="E207" s="5" t="s">
        <v>18</v>
      </c>
      <c r="F207" s="5" t="s">
        <v>3</v>
      </c>
      <c r="G207" s="5" t="s">
        <v>10</v>
      </c>
      <c r="H207" s="5">
        <v>1</v>
      </c>
      <c r="I207" s="6">
        <v>2440</v>
      </c>
      <c r="J207" s="7">
        <v>0.15</v>
      </c>
      <c r="K207" s="6">
        <v>2074</v>
      </c>
      <c r="L207" s="6">
        <v>1539.94</v>
      </c>
      <c r="M207" s="5">
        <v>534.05999999999995</v>
      </c>
      <c r="N207" s="5" t="s">
        <v>66</v>
      </c>
      <c r="O207" s="2"/>
      <c r="P207" s="2"/>
    </row>
    <row r="208" spans="1:16">
      <c r="A208" s="5" t="s">
        <v>445</v>
      </c>
      <c r="B208" s="8">
        <v>45904</v>
      </c>
      <c r="C208" s="14">
        <f t="shared" si="3"/>
        <v>45901</v>
      </c>
      <c r="D208" s="5" t="s">
        <v>446</v>
      </c>
      <c r="E208" s="5" t="s">
        <v>18</v>
      </c>
      <c r="F208" s="5" t="s">
        <v>3</v>
      </c>
      <c r="G208" s="5" t="s">
        <v>10</v>
      </c>
      <c r="H208" s="5">
        <v>3</v>
      </c>
      <c r="I208" s="6">
        <v>2430</v>
      </c>
      <c r="J208" s="7">
        <v>0.1</v>
      </c>
      <c r="K208" s="6">
        <v>6561</v>
      </c>
      <c r="L208" s="6">
        <v>4533.8100000000004</v>
      </c>
      <c r="M208" s="5">
        <v>2027.19</v>
      </c>
      <c r="N208" s="5" t="s">
        <v>64</v>
      </c>
      <c r="O208" s="2"/>
      <c r="P208" s="2"/>
    </row>
    <row r="209" spans="1:16">
      <c r="A209" s="5" t="s">
        <v>447</v>
      </c>
      <c r="B209" s="8">
        <v>45904</v>
      </c>
      <c r="C209" s="14">
        <f t="shared" si="3"/>
        <v>45901</v>
      </c>
      <c r="D209" s="5" t="s">
        <v>163</v>
      </c>
      <c r="E209" s="5" t="s">
        <v>100</v>
      </c>
      <c r="F209" s="5" t="s">
        <v>4</v>
      </c>
      <c r="G209" s="5" t="s">
        <v>11</v>
      </c>
      <c r="H209" s="5">
        <v>1</v>
      </c>
      <c r="I209" s="6">
        <v>1480</v>
      </c>
      <c r="J209" s="7">
        <v>0</v>
      </c>
      <c r="K209" s="6">
        <v>1480</v>
      </c>
      <c r="L209" s="6">
        <v>867.83</v>
      </c>
      <c r="M209" s="5">
        <v>612.16999999999996</v>
      </c>
      <c r="N209" s="5" t="s">
        <v>64</v>
      </c>
      <c r="O209" s="2"/>
      <c r="P209" s="2"/>
    </row>
    <row r="210" spans="1:16">
      <c r="A210" s="5" t="s">
        <v>448</v>
      </c>
      <c r="B210" s="8">
        <v>45905</v>
      </c>
      <c r="C210" s="14">
        <f t="shared" si="3"/>
        <v>45901</v>
      </c>
      <c r="D210" s="5" t="s">
        <v>323</v>
      </c>
      <c r="E210" s="5" t="s">
        <v>14</v>
      </c>
      <c r="F210" s="5" t="s">
        <v>5</v>
      </c>
      <c r="G210" s="5" t="s">
        <v>10</v>
      </c>
      <c r="H210" s="5">
        <v>2</v>
      </c>
      <c r="I210" s="6">
        <v>5370</v>
      </c>
      <c r="J210" s="7">
        <v>0.15</v>
      </c>
      <c r="K210" s="6">
        <v>9129</v>
      </c>
      <c r="L210" s="6">
        <v>7266.53</v>
      </c>
      <c r="M210" s="5">
        <v>1862.47</v>
      </c>
      <c r="N210" s="5" t="s">
        <v>63</v>
      </c>
      <c r="O210" s="2"/>
      <c r="P210" s="2"/>
    </row>
    <row r="211" spans="1:16">
      <c r="A211" s="5" t="s">
        <v>449</v>
      </c>
      <c r="B211" s="8">
        <v>45908</v>
      </c>
      <c r="C211" s="14">
        <f t="shared" si="3"/>
        <v>45901</v>
      </c>
      <c r="D211" s="5" t="s">
        <v>450</v>
      </c>
      <c r="E211" s="5" t="s">
        <v>125</v>
      </c>
      <c r="F211" s="5" t="s">
        <v>5</v>
      </c>
      <c r="G211" s="5" t="s">
        <v>9</v>
      </c>
      <c r="H211" s="5">
        <v>1</v>
      </c>
      <c r="I211" s="6">
        <v>1830</v>
      </c>
      <c r="J211" s="7">
        <v>0.05</v>
      </c>
      <c r="K211" s="6">
        <v>1738.5</v>
      </c>
      <c r="L211" s="6">
        <v>1023.3</v>
      </c>
      <c r="M211" s="5">
        <v>715.2</v>
      </c>
      <c r="N211" s="5" t="s">
        <v>63</v>
      </c>
      <c r="O211" s="2"/>
      <c r="P211" s="2"/>
    </row>
    <row r="212" spans="1:16">
      <c r="A212" s="5" t="s">
        <v>451</v>
      </c>
      <c r="B212" s="8">
        <v>45911</v>
      </c>
      <c r="C212" s="14">
        <f t="shared" si="3"/>
        <v>45901</v>
      </c>
      <c r="D212" s="5" t="s">
        <v>452</v>
      </c>
      <c r="E212" s="5" t="s">
        <v>14</v>
      </c>
      <c r="F212" s="5" t="s">
        <v>5</v>
      </c>
      <c r="G212" s="5" t="s">
        <v>11</v>
      </c>
      <c r="H212" s="5">
        <v>2</v>
      </c>
      <c r="I212" s="6">
        <v>5300</v>
      </c>
      <c r="J212" s="7">
        <v>0.1</v>
      </c>
      <c r="K212" s="6">
        <v>9540</v>
      </c>
      <c r="L212" s="6">
        <v>7145.83</v>
      </c>
      <c r="M212" s="5">
        <v>2394.17</v>
      </c>
      <c r="N212" s="5" t="s">
        <v>63</v>
      </c>
      <c r="O212" s="2"/>
      <c r="P212" s="2"/>
    </row>
    <row r="213" spans="1:16">
      <c r="A213" s="5" t="s">
        <v>453</v>
      </c>
      <c r="B213" s="8">
        <v>45911</v>
      </c>
      <c r="C213" s="14">
        <f t="shared" si="3"/>
        <v>45901</v>
      </c>
      <c r="D213" s="5" t="s">
        <v>454</v>
      </c>
      <c r="E213" s="5" t="s">
        <v>90</v>
      </c>
      <c r="F213" s="5" t="s">
        <v>3</v>
      </c>
      <c r="G213" s="5" t="s">
        <v>11</v>
      </c>
      <c r="H213" s="5">
        <v>4</v>
      </c>
      <c r="I213" s="6">
        <v>1930</v>
      </c>
      <c r="J213" s="7">
        <v>0.15</v>
      </c>
      <c r="K213" s="6">
        <v>6562</v>
      </c>
      <c r="L213" s="6">
        <v>4901.59</v>
      </c>
      <c r="M213" s="5">
        <v>1660.41</v>
      </c>
      <c r="N213" s="5" t="s">
        <v>64</v>
      </c>
      <c r="O213" s="2"/>
      <c r="P213" s="2"/>
    </row>
    <row r="214" spans="1:16">
      <c r="A214" s="5" t="s">
        <v>455</v>
      </c>
      <c r="B214" s="8">
        <v>45911</v>
      </c>
      <c r="C214" s="14">
        <f t="shared" si="3"/>
        <v>45901</v>
      </c>
      <c r="D214" s="5" t="s">
        <v>389</v>
      </c>
      <c r="E214" s="5" t="s">
        <v>16</v>
      </c>
      <c r="F214" s="5" t="s">
        <v>3</v>
      </c>
      <c r="G214" s="5" t="s">
        <v>11</v>
      </c>
      <c r="H214" s="5">
        <v>1</v>
      </c>
      <c r="I214" s="6">
        <v>4030</v>
      </c>
      <c r="J214" s="7">
        <v>0.05</v>
      </c>
      <c r="K214" s="6">
        <v>3828.5</v>
      </c>
      <c r="L214" s="6">
        <v>2469.48</v>
      </c>
      <c r="M214" s="5">
        <v>1359.02</v>
      </c>
      <c r="N214" s="5" t="s">
        <v>65</v>
      </c>
      <c r="O214" s="2"/>
      <c r="P214" s="2"/>
    </row>
    <row r="215" spans="1:16">
      <c r="A215" s="5" t="s">
        <v>456</v>
      </c>
      <c r="B215" s="8">
        <v>45913</v>
      </c>
      <c r="C215" s="14">
        <f t="shared" si="3"/>
        <v>45901</v>
      </c>
      <c r="D215" s="5" t="s">
        <v>248</v>
      </c>
      <c r="E215" s="5" t="s">
        <v>95</v>
      </c>
      <c r="F215" s="5" t="s">
        <v>4</v>
      </c>
      <c r="G215" s="5" t="s">
        <v>11</v>
      </c>
      <c r="H215" s="5">
        <v>4</v>
      </c>
      <c r="I215" s="6">
        <v>1950</v>
      </c>
      <c r="J215" s="7">
        <v>0</v>
      </c>
      <c r="K215" s="6">
        <v>7800</v>
      </c>
      <c r="L215" s="6">
        <v>4498.3599999999997</v>
      </c>
      <c r="M215" s="5">
        <v>3301.64</v>
      </c>
      <c r="N215" s="5" t="s">
        <v>65</v>
      </c>
      <c r="O215" s="2"/>
      <c r="P215" s="2"/>
    </row>
    <row r="216" spans="1:16">
      <c r="A216" s="5" t="s">
        <v>457</v>
      </c>
      <c r="B216" s="8">
        <v>45915</v>
      </c>
      <c r="C216" s="14">
        <f t="shared" si="3"/>
        <v>45901</v>
      </c>
      <c r="D216" s="5" t="s">
        <v>458</v>
      </c>
      <c r="E216" s="5" t="s">
        <v>83</v>
      </c>
      <c r="F216" s="5" t="s">
        <v>4</v>
      </c>
      <c r="G216" s="5" t="s">
        <v>9</v>
      </c>
      <c r="H216" s="5">
        <v>2</v>
      </c>
      <c r="I216" s="6">
        <v>1640</v>
      </c>
      <c r="J216" s="7">
        <v>0.2</v>
      </c>
      <c r="K216" s="6">
        <v>2624</v>
      </c>
      <c r="L216" s="6">
        <v>1843.53</v>
      </c>
      <c r="M216" s="5">
        <v>780.47</v>
      </c>
      <c r="N216" s="5" t="s">
        <v>62</v>
      </c>
      <c r="O216" s="2"/>
      <c r="P216" s="2"/>
    </row>
    <row r="217" spans="1:16">
      <c r="A217" s="5" t="s">
        <v>459</v>
      </c>
      <c r="B217" s="8">
        <v>45916</v>
      </c>
      <c r="C217" s="14">
        <f t="shared" si="3"/>
        <v>45901</v>
      </c>
      <c r="D217" s="5" t="s">
        <v>460</v>
      </c>
      <c r="E217" s="5" t="s">
        <v>17</v>
      </c>
      <c r="F217" s="5" t="s">
        <v>4</v>
      </c>
      <c r="G217" s="5" t="s">
        <v>10</v>
      </c>
      <c r="H217" s="5">
        <v>1</v>
      </c>
      <c r="I217" s="6">
        <v>2910</v>
      </c>
      <c r="J217" s="7">
        <v>0.05</v>
      </c>
      <c r="K217" s="6">
        <v>2764.5</v>
      </c>
      <c r="L217" s="6">
        <v>1831.98</v>
      </c>
      <c r="M217" s="5">
        <v>932.52</v>
      </c>
      <c r="N217" s="5" t="s">
        <v>63</v>
      </c>
      <c r="O217" s="2"/>
      <c r="P217" s="2"/>
    </row>
    <row r="218" spans="1:16">
      <c r="A218" s="5" t="s">
        <v>461</v>
      </c>
      <c r="B218" s="8">
        <v>45917</v>
      </c>
      <c r="C218" s="14">
        <f t="shared" si="3"/>
        <v>45901</v>
      </c>
      <c r="D218" s="5" t="s">
        <v>462</v>
      </c>
      <c r="E218" s="5" t="s">
        <v>17</v>
      </c>
      <c r="F218" s="5" t="s">
        <v>4</v>
      </c>
      <c r="G218" s="5" t="s">
        <v>9</v>
      </c>
      <c r="H218" s="5">
        <v>1</v>
      </c>
      <c r="I218" s="6">
        <v>2920</v>
      </c>
      <c r="J218" s="7">
        <v>0.05</v>
      </c>
      <c r="K218" s="6">
        <v>2774</v>
      </c>
      <c r="L218" s="6">
        <v>1867.29</v>
      </c>
      <c r="M218" s="5">
        <v>906.71</v>
      </c>
      <c r="N218" s="5" t="s">
        <v>66</v>
      </c>
      <c r="O218" s="2"/>
      <c r="P218" s="2"/>
    </row>
    <row r="219" spans="1:16">
      <c r="A219" s="5" t="s">
        <v>463</v>
      </c>
      <c r="B219" s="8">
        <v>45918</v>
      </c>
      <c r="C219" s="14">
        <f t="shared" si="3"/>
        <v>45901</v>
      </c>
      <c r="D219" s="5" t="s">
        <v>464</v>
      </c>
      <c r="E219" s="5" t="s">
        <v>125</v>
      </c>
      <c r="F219" s="5" t="s">
        <v>5</v>
      </c>
      <c r="G219" s="5" t="s">
        <v>11</v>
      </c>
      <c r="H219" s="5">
        <v>3</v>
      </c>
      <c r="I219" s="6">
        <v>1810</v>
      </c>
      <c r="J219" s="7">
        <v>0</v>
      </c>
      <c r="K219" s="6">
        <v>5430</v>
      </c>
      <c r="L219" s="6">
        <v>3162.38</v>
      </c>
      <c r="M219" s="5">
        <v>2267.62</v>
      </c>
      <c r="N219" s="5" t="s">
        <v>63</v>
      </c>
      <c r="O219" s="2"/>
      <c r="P219" s="2"/>
    </row>
    <row r="220" spans="1:16">
      <c r="A220" s="5" t="s">
        <v>465</v>
      </c>
      <c r="B220" s="8">
        <v>45918</v>
      </c>
      <c r="C220" s="14">
        <f t="shared" si="3"/>
        <v>45901</v>
      </c>
      <c r="D220" s="5" t="s">
        <v>466</v>
      </c>
      <c r="E220" s="5" t="s">
        <v>18</v>
      </c>
      <c r="F220" s="5" t="s">
        <v>3</v>
      </c>
      <c r="G220" s="5" t="s">
        <v>10</v>
      </c>
      <c r="H220" s="5">
        <v>1</v>
      </c>
      <c r="I220" s="6">
        <v>2490</v>
      </c>
      <c r="J220" s="7">
        <v>0.2</v>
      </c>
      <c r="K220" s="6">
        <v>1992</v>
      </c>
      <c r="L220" s="6">
        <v>1525.45</v>
      </c>
      <c r="M220" s="5">
        <v>466.55</v>
      </c>
      <c r="N220" s="5" t="s">
        <v>64</v>
      </c>
      <c r="O220" s="2"/>
      <c r="P220" s="2"/>
    </row>
    <row r="221" spans="1:16">
      <c r="A221" s="5" t="s">
        <v>467</v>
      </c>
      <c r="B221" s="8">
        <v>45920</v>
      </c>
      <c r="C221" s="14">
        <f t="shared" si="3"/>
        <v>45901</v>
      </c>
      <c r="D221" s="5" t="s">
        <v>468</v>
      </c>
      <c r="E221" s="5" t="s">
        <v>83</v>
      </c>
      <c r="F221" s="5" t="s">
        <v>4</v>
      </c>
      <c r="G221" s="5" t="s">
        <v>9</v>
      </c>
      <c r="H221" s="5">
        <v>2</v>
      </c>
      <c r="I221" s="6">
        <v>1570</v>
      </c>
      <c r="J221" s="7">
        <v>0.1</v>
      </c>
      <c r="K221" s="6">
        <v>2826</v>
      </c>
      <c r="L221" s="6">
        <v>1756.06</v>
      </c>
      <c r="M221" s="5">
        <v>1069.94</v>
      </c>
      <c r="N221" s="5" t="s">
        <v>62</v>
      </c>
      <c r="O221" s="2"/>
      <c r="P221" s="2"/>
    </row>
    <row r="222" spans="1:16">
      <c r="A222" s="5" t="s">
        <v>469</v>
      </c>
      <c r="B222" s="8">
        <v>45920</v>
      </c>
      <c r="C222" s="14">
        <f t="shared" si="3"/>
        <v>45901</v>
      </c>
      <c r="D222" s="5" t="s">
        <v>94</v>
      </c>
      <c r="E222" s="5" t="s">
        <v>121</v>
      </c>
      <c r="F222" s="5" t="s">
        <v>3</v>
      </c>
      <c r="G222" s="5" t="s">
        <v>9</v>
      </c>
      <c r="H222" s="5">
        <v>2</v>
      </c>
      <c r="I222" s="6">
        <v>1320</v>
      </c>
      <c r="J222" s="7">
        <v>0.15</v>
      </c>
      <c r="K222" s="6">
        <v>2244</v>
      </c>
      <c r="L222" s="6">
        <v>1564.8</v>
      </c>
      <c r="M222" s="5">
        <v>679.2</v>
      </c>
      <c r="N222" s="5" t="s">
        <v>63</v>
      </c>
      <c r="O222" s="2"/>
      <c r="P222" s="2"/>
    </row>
    <row r="223" spans="1:16">
      <c r="A223" s="5" t="s">
        <v>470</v>
      </c>
      <c r="B223" s="8">
        <v>45922</v>
      </c>
      <c r="C223" s="14">
        <f t="shared" si="3"/>
        <v>45901</v>
      </c>
      <c r="D223" s="5" t="s">
        <v>471</v>
      </c>
      <c r="E223" s="5" t="s">
        <v>121</v>
      </c>
      <c r="F223" s="5" t="s">
        <v>3</v>
      </c>
      <c r="G223" s="5" t="s">
        <v>10</v>
      </c>
      <c r="H223" s="5">
        <v>4</v>
      </c>
      <c r="I223" s="6">
        <v>1300</v>
      </c>
      <c r="J223" s="7">
        <v>0.1</v>
      </c>
      <c r="K223" s="6">
        <v>4680</v>
      </c>
      <c r="L223" s="6">
        <v>3036.63</v>
      </c>
      <c r="M223" s="5">
        <v>1643.37</v>
      </c>
      <c r="N223" s="5" t="s">
        <v>65</v>
      </c>
      <c r="O223" s="2"/>
      <c r="P223" s="2"/>
    </row>
    <row r="224" spans="1:16">
      <c r="A224" s="5" t="s">
        <v>472</v>
      </c>
      <c r="B224" s="8">
        <v>45922</v>
      </c>
      <c r="C224" s="14">
        <f t="shared" si="3"/>
        <v>45901</v>
      </c>
      <c r="D224" s="5" t="s">
        <v>264</v>
      </c>
      <c r="E224" s="5" t="s">
        <v>125</v>
      </c>
      <c r="F224" s="5" t="s">
        <v>5</v>
      </c>
      <c r="G224" s="5" t="s">
        <v>11</v>
      </c>
      <c r="H224" s="5">
        <v>1</v>
      </c>
      <c r="I224" s="6">
        <v>1810</v>
      </c>
      <c r="J224" s="7">
        <v>0.05</v>
      </c>
      <c r="K224" s="6">
        <v>1719.5</v>
      </c>
      <c r="L224" s="6">
        <v>1045.79</v>
      </c>
      <c r="M224" s="5">
        <v>673.71</v>
      </c>
      <c r="N224" s="5" t="s">
        <v>63</v>
      </c>
      <c r="O224" s="2"/>
      <c r="P224" s="2"/>
    </row>
    <row r="225" spans="1:16">
      <c r="A225" s="5" t="s">
        <v>473</v>
      </c>
      <c r="B225" s="8">
        <v>45924</v>
      </c>
      <c r="C225" s="14">
        <f t="shared" si="3"/>
        <v>45901</v>
      </c>
      <c r="D225" s="5" t="s">
        <v>474</v>
      </c>
      <c r="E225" s="5" t="s">
        <v>16</v>
      </c>
      <c r="F225" s="5" t="s">
        <v>3</v>
      </c>
      <c r="G225" s="5" t="s">
        <v>11</v>
      </c>
      <c r="H225" s="5">
        <v>2</v>
      </c>
      <c r="I225" s="6">
        <v>3960</v>
      </c>
      <c r="J225" s="7">
        <v>0.1</v>
      </c>
      <c r="K225" s="6">
        <v>7128</v>
      </c>
      <c r="L225" s="6">
        <v>5109</v>
      </c>
      <c r="M225" s="5">
        <v>2019</v>
      </c>
      <c r="N225" s="5" t="s">
        <v>64</v>
      </c>
      <c r="O225" s="2"/>
      <c r="P225" s="2"/>
    </row>
    <row r="226" spans="1:16">
      <c r="A226" s="5" t="s">
        <v>475</v>
      </c>
      <c r="B226" s="8">
        <v>45925</v>
      </c>
      <c r="C226" s="14">
        <f t="shared" si="3"/>
        <v>45901</v>
      </c>
      <c r="D226" s="5" t="s">
        <v>291</v>
      </c>
      <c r="E226" s="5" t="s">
        <v>342</v>
      </c>
      <c r="F226" s="5" t="s">
        <v>2</v>
      </c>
      <c r="G226" s="5" t="s">
        <v>9</v>
      </c>
      <c r="H226" s="5">
        <v>1</v>
      </c>
      <c r="I226" s="6">
        <v>2820</v>
      </c>
      <c r="J226" s="7">
        <v>0.15</v>
      </c>
      <c r="K226" s="6">
        <v>2397</v>
      </c>
      <c r="L226" s="6">
        <v>1648.02</v>
      </c>
      <c r="M226" s="5">
        <v>748.98</v>
      </c>
      <c r="N226" s="5" t="s">
        <v>65</v>
      </c>
      <c r="O226" s="2"/>
      <c r="P226" s="2"/>
    </row>
    <row r="227" spans="1:16">
      <c r="A227" s="5" t="s">
        <v>476</v>
      </c>
      <c r="B227" s="8">
        <v>45925</v>
      </c>
      <c r="C227" s="14">
        <f t="shared" si="3"/>
        <v>45901</v>
      </c>
      <c r="D227" s="5" t="s">
        <v>55</v>
      </c>
      <c r="E227" s="5" t="s">
        <v>221</v>
      </c>
      <c r="F227" s="5" t="s">
        <v>2</v>
      </c>
      <c r="G227" s="5" t="s">
        <v>11</v>
      </c>
      <c r="H227" s="5">
        <v>3</v>
      </c>
      <c r="I227" s="6">
        <v>1920</v>
      </c>
      <c r="J227" s="7">
        <v>0.1</v>
      </c>
      <c r="K227" s="6">
        <v>5184</v>
      </c>
      <c r="L227" s="6">
        <v>3206.31</v>
      </c>
      <c r="M227" s="5">
        <v>1977.69</v>
      </c>
      <c r="N227" s="5" t="s">
        <v>66</v>
      </c>
      <c r="O227" s="2"/>
      <c r="P227" s="2"/>
    </row>
    <row r="228" spans="1:16">
      <c r="A228" s="5" t="s">
        <v>477</v>
      </c>
      <c r="B228" s="8">
        <v>45925</v>
      </c>
      <c r="C228" s="14">
        <f t="shared" si="3"/>
        <v>45901</v>
      </c>
      <c r="D228" s="5" t="s">
        <v>223</v>
      </c>
      <c r="E228" s="5" t="s">
        <v>18</v>
      </c>
      <c r="F228" s="5" t="s">
        <v>3</v>
      </c>
      <c r="G228" s="5" t="s">
        <v>10</v>
      </c>
      <c r="H228" s="5">
        <v>2</v>
      </c>
      <c r="I228" s="6">
        <v>2420</v>
      </c>
      <c r="J228" s="7">
        <v>0</v>
      </c>
      <c r="K228" s="6">
        <v>4840</v>
      </c>
      <c r="L228" s="6">
        <v>3110.91</v>
      </c>
      <c r="M228" s="5">
        <v>1729.09</v>
      </c>
      <c r="N228" s="5" t="s">
        <v>63</v>
      </c>
      <c r="O228" s="2"/>
      <c r="P228" s="2"/>
    </row>
    <row r="229" spans="1:16">
      <c r="A229" s="5" t="s">
        <v>478</v>
      </c>
      <c r="B229" s="8">
        <v>45926</v>
      </c>
      <c r="C229" s="14">
        <f t="shared" si="3"/>
        <v>45901</v>
      </c>
      <c r="D229" s="5" t="s">
        <v>264</v>
      </c>
      <c r="E229" s="5" t="s">
        <v>121</v>
      </c>
      <c r="F229" s="5" t="s">
        <v>3</v>
      </c>
      <c r="G229" s="5" t="s">
        <v>8</v>
      </c>
      <c r="H229" s="5">
        <v>1</v>
      </c>
      <c r="I229" s="6">
        <v>1290</v>
      </c>
      <c r="J229" s="7">
        <v>0.1</v>
      </c>
      <c r="K229" s="6">
        <v>1161</v>
      </c>
      <c r="L229" s="6">
        <v>771.13</v>
      </c>
      <c r="M229" s="5">
        <v>389.87</v>
      </c>
      <c r="N229" s="5" t="s">
        <v>64</v>
      </c>
      <c r="O229" s="2"/>
      <c r="P229" s="2"/>
    </row>
    <row r="230" spans="1:16">
      <c r="A230" s="5" t="s">
        <v>479</v>
      </c>
      <c r="B230" s="8">
        <v>45927</v>
      </c>
      <c r="C230" s="14">
        <f t="shared" si="3"/>
        <v>45901</v>
      </c>
      <c r="D230" s="5" t="s">
        <v>480</v>
      </c>
      <c r="E230" s="5" t="s">
        <v>125</v>
      </c>
      <c r="F230" s="5" t="s">
        <v>5</v>
      </c>
      <c r="G230" s="5" t="s">
        <v>9</v>
      </c>
      <c r="H230" s="5">
        <v>2</v>
      </c>
      <c r="I230" s="6">
        <v>1870</v>
      </c>
      <c r="J230" s="7">
        <v>0.1</v>
      </c>
      <c r="K230" s="6">
        <v>3366</v>
      </c>
      <c r="L230" s="6">
        <v>2143.41</v>
      </c>
      <c r="M230" s="5">
        <v>1222.5899999999999</v>
      </c>
      <c r="N230" s="5" t="s">
        <v>66</v>
      </c>
      <c r="O230" s="2"/>
      <c r="P230" s="2"/>
    </row>
    <row r="231" spans="1:16">
      <c r="A231" s="5" t="s">
        <v>481</v>
      </c>
      <c r="B231" s="8">
        <v>45928</v>
      </c>
      <c r="C231" s="14">
        <f t="shared" si="3"/>
        <v>45901</v>
      </c>
      <c r="D231" s="5" t="s">
        <v>482</v>
      </c>
      <c r="E231" s="5" t="s">
        <v>14</v>
      </c>
      <c r="F231" s="5" t="s">
        <v>5</v>
      </c>
      <c r="G231" s="5" t="s">
        <v>9</v>
      </c>
      <c r="H231" s="5">
        <v>1</v>
      </c>
      <c r="I231" s="6">
        <v>5300</v>
      </c>
      <c r="J231" s="7">
        <v>0</v>
      </c>
      <c r="K231" s="6">
        <v>5300</v>
      </c>
      <c r="L231" s="6">
        <v>3679.09</v>
      </c>
      <c r="M231" s="5">
        <v>1620.91</v>
      </c>
      <c r="N231" s="5" t="s">
        <v>63</v>
      </c>
      <c r="O231" s="2"/>
      <c r="P231" s="2"/>
    </row>
    <row r="232" spans="1:16">
      <c r="A232" s="5" t="s">
        <v>483</v>
      </c>
      <c r="B232" s="8">
        <v>45928</v>
      </c>
      <c r="C232" s="14">
        <f t="shared" si="3"/>
        <v>45901</v>
      </c>
      <c r="D232" s="5" t="s">
        <v>484</v>
      </c>
      <c r="E232" s="5" t="s">
        <v>83</v>
      </c>
      <c r="F232" s="5" t="s">
        <v>4</v>
      </c>
      <c r="G232" s="5" t="s">
        <v>11</v>
      </c>
      <c r="H232" s="5">
        <v>1</v>
      </c>
      <c r="I232" s="6">
        <v>1550</v>
      </c>
      <c r="J232" s="7">
        <v>0.05</v>
      </c>
      <c r="K232" s="6">
        <v>1472.5</v>
      </c>
      <c r="L232" s="6">
        <v>881.3</v>
      </c>
      <c r="M232" s="5">
        <v>591.20000000000005</v>
      </c>
      <c r="N232" s="5" t="s">
        <v>63</v>
      </c>
      <c r="O232" s="2"/>
      <c r="P232" s="2"/>
    </row>
    <row r="233" spans="1:16">
      <c r="A233" s="5" t="s">
        <v>485</v>
      </c>
      <c r="B233" s="8">
        <v>45929</v>
      </c>
      <c r="C233" s="14">
        <f t="shared" si="3"/>
        <v>45901</v>
      </c>
      <c r="D233" s="5" t="s">
        <v>486</v>
      </c>
      <c r="E233" s="5" t="s">
        <v>18</v>
      </c>
      <c r="F233" s="5" t="s">
        <v>3</v>
      </c>
      <c r="G233" s="5" t="s">
        <v>11</v>
      </c>
      <c r="H233" s="5">
        <v>2</v>
      </c>
      <c r="I233" s="6">
        <v>2410</v>
      </c>
      <c r="J233" s="7">
        <v>0.15</v>
      </c>
      <c r="K233" s="6">
        <v>4097</v>
      </c>
      <c r="L233" s="6">
        <v>3112.28</v>
      </c>
      <c r="M233" s="5">
        <v>984.72</v>
      </c>
      <c r="N233" s="5" t="s">
        <v>64</v>
      </c>
      <c r="O233" s="2"/>
      <c r="P233" s="2"/>
    </row>
    <row r="234" spans="1:16">
      <c r="A234" s="5" t="s">
        <v>487</v>
      </c>
      <c r="B234" s="8">
        <v>45929</v>
      </c>
      <c r="C234" s="14">
        <f t="shared" si="3"/>
        <v>45901</v>
      </c>
      <c r="D234" s="5" t="s">
        <v>488</v>
      </c>
      <c r="E234" s="5" t="s">
        <v>17</v>
      </c>
      <c r="F234" s="5" t="s">
        <v>4</v>
      </c>
      <c r="G234" s="5" t="s">
        <v>9</v>
      </c>
      <c r="H234" s="5">
        <v>1</v>
      </c>
      <c r="I234" s="6">
        <v>3000</v>
      </c>
      <c r="J234" s="7">
        <v>0.2</v>
      </c>
      <c r="K234" s="6">
        <v>2400</v>
      </c>
      <c r="L234" s="6">
        <v>1818.82</v>
      </c>
      <c r="M234" s="5">
        <v>581.17999999999995</v>
      </c>
      <c r="N234" s="5" t="s">
        <v>63</v>
      </c>
      <c r="O234" s="2"/>
      <c r="P234" s="2"/>
    </row>
    <row r="235" spans="1:16">
      <c r="A235" s="5" t="s">
        <v>489</v>
      </c>
      <c r="B235" s="8">
        <v>45930</v>
      </c>
      <c r="C235" s="14">
        <f t="shared" si="3"/>
        <v>45901</v>
      </c>
      <c r="D235" s="5" t="s">
        <v>77</v>
      </c>
      <c r="E235" s="5" t="s">
        <v>90</v>
      </c>
      <c r="F235" s="5" t="s">
        <v>3</v>
      </c>
      <c r="G235" s="5" t="s">
        <v>11</v>
      </c>
      <c r="H235" s="5">
        <v>2</v>
      </c>
      <c r="I235" s="6">
        <v>1940</v>
      </c>
      <c r="J235" s="7">
        <v>0.05</v>
      </c>
      <c r="K235" s="6">
        <v>3686</v>
      </c>
      <c r="L235" s="6">
        <v>2421.8200000000002</v>
      </c>
      <c r="M235" s="5">
        <v>1264.18</v>
      </c>
      <c r="N235" s="5" t="s">
        <v>66</v>
      </c>
      <c r="O235" s="2"/>
      <c r="P235" s="2"/>
    </row>
    <row r="236" spans="1:16">
      <c r="A236" s="5" t="s">
        <v>490</v>
      </c>
      <c r="B236" s="8">
        <v>45933</v>
      </c>
      <c r="C236" s="14">
        <f t="shared" si="3"/>
        <v>45931</v>
      </c>
      <c r="D236" s="5" t="s">
        <v>212</v>
      </c>
      <c r="E236" s="5" t="s">
        <v>83</v>
      </c>
      <c r="F236" s="5" t="s">
        <v>4</v>
      </c>
      <c r="G236" s="5" t="s">
        <v>11</v>
      </c>
      <c r="H236" s="5">
        <v>1</v>
      </c>
      <c r="I236" s="6">
        <v>1560</v>
      </c>
      <c r="J236" s="7">
        <v>0.1</v>
      </c>
      <c r="K236" s="6">
        <v>1404</v>
      </c>
      <c r="L236" s="6">
        <v>888.87</v>
      </c>
      <c r="M236" s="5">
        <v>515.13</v>
      </c>
      <c r="N236" s="5" t="s">
        <v>66</v>
      </c>
      <c r="O236" s="2"/>
      <c r="P236" s="2"/>
    </row>
    <row r="237" spans="1:16">
      <c r="A237" s="5" t="s">
        <v>491</v>
      </c>
      <c r="B237" s="8">
        <v>45935</v>
      </c>
      <c r="C237" s="14">
        <f t="shared" si="3"/>
        <v>45931</v>
      </c>
      <c r="D237" s="5" t="s">
        <v>492</v>
      </c>
      <c r="E237" s="5" t="s">
        <v>17</v>
      </c>
      <c r="F237" s="5" t="s">
        <v>4</v>
      </c>
      <c r="G237" s="5" t="s">
        <v>9</v>
      </c>
      <c r="H237" s="5">
        <v>1</v>
      </c>
      <c r="I237" s="6">
        <v>2920</v>
      </c>
      <c r="J237" s="7">
        <v>0.25</v>
      </c>
      <c r="K237" s="6">
        <v>2190</v>
      </c>
      <c r="L237" s="6">
        <v>1904.21</v>
      </c>
      <c r="M237" s="5">
        <v>285.79000000000002</v>
      </c>
      <c r="N237" s="5" t="s">
        <v>66</v>
      </c>
      <c r="O237" s="2"/>
      <c r="P237" s="2"/>
    </row>
    <row r="238" spans="1:16">
      <c r="A238" s="5" t="s">
        <v>493</v>
      </c>
      <c r="B238" s="8">
        <v>45935</v>
      </c>
      <c r="C238" s="14">
        <f t="shared" si="3"/>
        <v>45931</v>
      </c>
      <c r="D238" s="5" t="s">
        <v>494</v>
      </c>
      <c r="E238" s="5" t="s">
        <v>15</v>
      </c>
      <c r="F238" s="5" t="s">
        <v>5</v>
      </c>
      <c r="G238" s="5" t="s">
        <v>11</v>
      </c>
      <c r="H238" s="5">
        <v>3</v>
      </c>
      <c r="I238" s="6">
        <v>3440</v>
      </c>
      <c r="J238" s="7">
        <v>0.15</v>
      </c>
      <c r="K238" s="6">
        <v>8772</v>
      </c>
      <c r="L238" s="6">
        <v>6774.59</v>
      </c>
      <c r="M238" s="5">
        <v>1997.41</v>
      </c>
      <c r="N238" s="5" t="s">
        <v>64</v>
      </c>
      <c r="O238" s="2"/>
      <c r="P238" s="2"/>
    </row>
    <row r="239" spans="1:16">
      <c r="A239" s="5" t="s">
        <v>495</v>
      </c>
      <c r="B239" s="8">
        <v>45936</v>
      </c>
      <c r="C239" s="14">
        <f t="shared" si="3"/>
        <v>45931</v>
      </c>
      <c r="D239" s="5" t="s">
        <v>496</v>
      </c>
      <c r="E239" s="5" t="s">
        <v>149</v>
      </c>
      <c r="F239" s="5" t="s">
        <v>2</v>
      </c>
      <c r="G239" s="5" t="s">
        <v>10</v>
      </c>
      <c r="H239" s="5">
        <v>1</v>
      </c>
      <c r="I239" s="6">
        <v>2290</v>
      </c>
      <c r="J239" s="7">
        <v>0.2</v>
      </c>
      <c r="K239" s="6">
        <v>1832</v>
      </c>
      <c r="L239" s="6">
        <v>1297.3699999999999</v>
      </c>
      <c r="M239" s="5">
        <v>534.63</v>
      </c>
      <c r="N239" s="5" t="s">
        <v>66</v>
      </c>
      <c r="O239" s="2"/>
      <c r="P239" s="2"/>
    </row>
    <row r="240" spans="1:16">
      <c r="A240" s="5" t="s">
        <v>497</v>
      </c>
      <c r="B240" s="8">
        <v>45938</v>
      </c>
      <c r="C240" s="14">
        <f t="shared" si="3"/>
        <v>45931</v>
      </c>
      <c r="D240" s="5" t="s">
        <v>52</v>
      </c>
      <c r="E240" s="5" t="s">
        <v>14</v>
      </c>
      <c r="F240" s="5" t="s">
        <v>5</v>
      </c>
      <c r="G240" s="5" t="s">
        <v>11</v>
      </c>
      <c r="H240" s="5">
        <v>5</v>
      </c>
      <c r="I240" s="6">
        <v>5590</v>
      </c>
      <c r="J240" s="7">
        <v>0</v>
      </c>
      <c r="K240" s="6">
        <v>27950</v>
      </c>
      <c r="L240" s="6">
        <v>18510.599999999999</v>
      </c>
      <c r="M240" s="5">
        <v>9439.4</v>
      </c>
      <c r="N240" s="5" t="s">
        <v>66</v>
      </c>
      <c r="O240" s="2"/>
      <c r="P240" s="2"/>
    </row>
    <row r="241" spans="1:16">
      <c r="A241" s="5" t="s">
        <v>498</v>
      </c>
      <c r="B241" s="8">
        <v>45941</v>
      </c>
      <c r="C241" s="14">
        <f t="shared" si="3"/>
        <v>45931</v>
      </c>
      <c r="D241" s="5" t="s">
        <v>499</v>
      </c>
      <c r="E241" s="5" t="s">
        <v>14</v>
      </c>
      <c r="F241" s="5" t="s">
        <v>5</v>
      </c>
      <c r="G241" s="5" t="s">
        <v>9</v>
      </c>
      <c r="H241" s="5">
        <v>1</v>
      </c>
      <c r="I241" s="6">
        <v>5530</v>
      </c>
      <c r="J241" s="7">
        <v>0.1</v>
      </c>
      <c r="K241" s="6">
        <v>4977</v>
      </c>
      <c r="L241" s="6">
        <v>3658.01</v>
      </c>
      <c r="M241" s="5">
        <v>1318.99</v>
      </c>
      <c r="N241" s="5" t="s">
        <v>62</v>
      </c>
      <c r="O241" s="2"/>
      <c r="P241" s="2"/>
    </row>
    <row r="242" spans="1:16">
      <c r="A242" s="5" t="s">
        <v>500</v>
      </c>
      <c r="B242" s="8">
        <v>45942</v>
      </c>
      <c r="C242" s="14">
        <f t="shared" si="3"/>
        <v>45931</v>
      </c>
      <c r="D242" s="5" t="s">
        <v>501</v>
      </c>
      <c r="E242" s="5" t="s">
        <v>15</v>
      </c>
      <c r="F242" s="5" t="s">
        <v>5</v>
      </c>
      <c r="G242" s="5" t="s">
        <v>9</v>
      </c>
      <c r="H242" s="5">
        <v>3</v>
      </c>
      <c r="I242" s="6">
        <v>3440</v>
      </c>
      <c r="J242" s="7">
        <v>0.1</v>
      </c>
      <c r="K242" s="6">
        <v>9288</v>
      </c>
      <c r="L242" s="6">
        <v>6684.77</v>
      </c>
      <c r="M242" s="5">
        <v>2603.23</v>
      </c>
      <c r="N242" s="5" t="s">
        <v>66</v>
      </c>
      <c r="O242" s="2"/>
      <c r="P242" s="2"/>
    </row>
    <row r="243" spans="1:16">
      <c r="A243" s="5" t="s">
        <v>502</v>
      </c>
      <c r="B243" s="8">
        <v>45945</v>
      </c>
      <c r="C243" s="14">
        <f t="shared" si="3"/>
        <v>45931</v>
      </c>
      <c r="D243" s="5" t="s">
        <v>118</v>
      </c>
      <c r="E243" s="5" t="s">
        <v>78</v>
      </c>
      <c r="F243" s="5" t="s">
        <v>2</v>
      </c>
      <c r="G243" s="5" t="s">
        <v>9</v>
      </c>
      <c r="H243" s="5">
        <v>1</v>
      </c>
      <c r="I243" s="6">
        <v>3450</v>
      </c>
      <c r="J243" s="7">
        <v>0.05</v>
      </c>
      <c r="K243" s="6">
        <v>3277.5</v>
      </c>
      <c r="L243" s="6">
        <v>2143.9299999999998</v>
      </c>
      <c r="M243" s="5">
        <v>1133.57</v>
      </c>
      <c r="N243" s="5" t="s">
        <v>66</v>
      </c>
      <c r="O243" s="2"/>
      <c r="P243" s="2"/>
    </row>
    <row r="244" spans="1:16">
      <c r="A244" s="5" t="s">
        <v>503</v>
      </c>
      <c r="B244" s="8">
        <v>45945</v>
      </c>
      <c r="C244" s="14">
        <f t="shared" si="3"/>
        <v>45931</v>
      </c>
      <c r="D244" s="5" t="s">
        <v>504</v>
      </c>
      <c r="E244" s="5" t="s">
        <v>95</v>
      </c>
      <c r="F244" s="5" t="s">
        <v>4</v>
      </c>
      <c r="G244" s="5" t="s">
        <v>11</v>
      </c>
      <c r="H244" s="5">
        <v>2</v>
      </c>
      <c r="I244" s="6">
        <v>2080</v>
      </c>
      <c r="J244" s="7">
        <v>0.05</v>
      </c>
      <c r="K244" s="6">
        <v>3952</v>
      </c>
      <c r="L244" s="6">
        <v>2365.52</v>
      </c>
      <c r="M244" s="5">
        <v>1586.48</v>
      </c>
      <c r="N244" s="5" t="s">
        <v>63</v>
      </c>
      <c r="O244" s="2"/>
      <c r="P244" s="2"/>
    </row>
    <row r="245" spans="1:16">
      <c r="A245" s="5" t="s">
        <v>505</v>
      </c>
      <c r="B245" s="8">
        <v>45945</v>
      </c>
      <c r="C245" s="14">
        <f t="shared" si="3"/>
        <v>45931</v>
      </c>
      <c r="D245" s="5" t="s">
        <v>460</v>
      </c>
      <c r="E245" s="5" t="s">
        <v>100</v>
      </c>
      <c r="F245" s="5" t="s">
        <v>4</v>
      </c>
      <c r="G245" s="5" t="s">
        <v>9</v>
      </c>
      <c r="H245" s="5">
        <v>1</v>
      </c>
      <c r="I245" s="6">
        <v>1470</v>
      </c>
      <c r="J245" s="7">
        <v>0.2</v>
      </c>
      <c r="K245" s="6">
        <v>1176</v>
      </c>
      <c r="L245" s="6">
        <v>843.48</v>
      </c>
      <c r="M245" s="5">
        <v>332.52</v>
      </c>
      <c r="N245" s="5" t="s">
        <v>66</v>
      </c>
      <c r="O245" s="2"/>
      <c r="P245" s="2"/>
    </row>
    <row r="246" spans="1:16">
      <c r="A246" s="5" t="s">
        <v>506</v>
      </c>
      <c r="B246" s="8">
        <v>45946</v>
      </c>
      <c r="C246" s="14">
        <f t="shared" si="3"/>
        <v>45931</v>
      </c>
      <c r="D246" s="5" t="s">
        <v>196</v>
      </c>
      <c r="E246" s="5" t="s">
        <v>78</v>
      </c>
      <c r="F246" s="5" t="s">
        <v>2</v>
      </c>
      <c r="G246" s="5" t="s">
        <v>10</v>
      </c>
      <c r="H246" s="5">
        <v>1</v>
      </c>
      <c r="I246" s="6">
        <v>3380</v>
      </c>
      <c r="J246" s="7">
        <v>0.15</v>
      </c>
      <c r="K246" s="6">
        <v>2873</v>
      </c>
      <c r="L246" s="6">
        <v>2059.04</v>
      </c>
      <c r="M246" s="5">
        <v>813.96</v>
      </c>
      <c r="N246" s="5" t="s">
        <v>64</v>
      </c>
      <c r="O246" s="2"/>
      <c r="P246" s="2"/>
    </row>
    <row r="247" spans="1:16">
      <c r="A247" s="5" t="s">
        <v>507</v>
      </c>
      <c r="B247" s="8">
        <v>45946</v>
      </c>
      <c r="C247" s="14">
        <f t="shared" si="3"/>
        <v>45931</v>
      </c>
      <c r="D247" s="5" t="s">
        <v>508</v>
      </c>
      <c r="E247" s="5" t="s">
        <v>100</v>
      </c>
      <c r="F247" s="5" t="s">
        <v>4</v>
      </c>
      <c r="G247" s="5" t="s">
        <v>9</v>
      </c>
      <c r="H247" s="5">
        <v>3</v>
      </c>
      <c r="I247" s="6">
        <v>1520</v>
      </c>
      <c r="J247" s="7">
        <v>0</v>
      </c>
      <c r="K247" s="6">
        <v>4560</v>
      </c>
      <c r="L247" s="6">
        <v>2494.92</v>
      </c>
      <c r="M247" s="5">
        <v>2065.08</v>
      </c>
      <c r="N247" s="5" t="s">
        <v>62</v>
      </c>
      <c r="O247" s="2"/>
      <c r="P247" s="2"/>
    </row>
    <row r="248" spans="1:16">
      <c r="A248" s="5" t="s">
        <v>509</v>
      </c>
      <c r="B248" s="8">
        <v>45947</v>
      </c>
      <c r="C248" s="14">
        <f t="shared" si="3"/>
        <v>45931</v>
      </c>
      <c r="D248" s="5" t="s">
        <v>157</v>
      </c>
      <c r="E248" s="5" t="s">
        <v>121</v>
      </c>
      <c r="F248" s="5" t="s">
        <v>3</v>
      </c>
      <c r="G248" s="5" t="s">
        <v>10</v>
      </c>
      <c r="H248" s="5">
        <v>1</v>
      </c>
      <c r="I248" s="6">
        <v>1280</v>
      </c>
      <c r="J248" s="7">
        <v>0.2</v>
      </c>
      <c r="K248" s="6">
        <v>1024</v>
      </c>
      <c r="L248" s="6">
        <v>744.24</v>
      </c>
      <c r="M248" s="5">
        <v>279.76</v>
      </c>
      <c r="N248" s="5" t="s">
        <v>63</v>
      </c>
      <c r="O248" s="2"/>
      <c r="P248" s="2"/>
    </row>
    <row r="249" spans="1:16">
      <c r="A249" s="5" t="s">
        <v>510</v>
      </c>
      <c r="B249" s="8">
        <v>45948</v>
      </c>
      <c r="C249" s="14">
        <f t="shared" si="3"/>
        <v>45931</v>
      </c>
      <c r="D249" s="5" t="s">
        <v>511</v>
      </c>
      <c r="E249" s="5" t="s">
        <v>221</v>
      </c>
      <c r="F249" s="5" t="s">
        <v>2</v>
      </c>
      <c r="G249" s="5" t="s">
        <v>11</v>
      </c>
      <c r="H249" s="5">
        <v>2</v>
      </c>
      <c r="I249" s="6">
        <v>1970</v>
      </c>
      <c r="J249" s="7">
        <v>0.1</v>
      </c>
      <c r="K249" s="6">
        <v>3546</v>
      </c>
      <c r="L249" s="6">
        <v>2140.7199999999998</v>
      </c>
      <c r="M249" s="5">
        <v>1405.28</v>
      </c>
      <c r="N249" s="5" t="s">
        <v>66</v>
      </c>
      <c r="O249" s="2"/>
      <c r="P249" s="2"/>
    </row>
    <row r="250" spans="1:16">
      <c r="A250" s="5" t="s">
        <v>512</v>
      </c>
      <c r="B250" s="8">
        <v>45949</v>
      </c>
      <c r="C250" s="14">
        <f t="shared" si="3"/>
        <v>45931</v>
      </c>
      <c r="D250" s="5" t="s">
        <v>513</v>
      </c>
      <c r="E250" s="5" t="s">
        <v>95</v>
      </c>
      <c r="F250" s="5" t="s">
        <v>4</v>
      </c>
      <c r="G250" s="5" t="s">
        <v>9</v>
      </c>
      <c r="H250" s="5">
        <v>3</v>
      </c>
      <c r="I250" s="6">
        <v>2070</v>
      </c>
      <c r="J250" s="7">
        <v>0.1</v>
      </c>
      <c r="K250" s="6">
        <v>5589</v>
      </c>
      <c r="L250" s="6">
        <v>3495.86</v>
      </c>
      <c r="M250" s="5">
        <v>2093.14</v>
      </c>
      <c r="N250" s="5" t="s">
        <v>66</v>
      </c>
      <c r="O250" s="2"/>
      <c r="P250" s="2"/>
    </row>
    <row r="251" spans="1:16">
      <c r="A251" s="5" t="s">
        <v>514</v>
      </c>
      <c r="B251" s="8">
        <v>45950</v>
      </c>
      <c r="C251" s="14">
        <f t="shared" si="3"/>
        <v>45931</v>
      </c>
      <c r="D251" s="5" t="s">
        <v>278</v>
      </c>
      <c r="E251" s="5" t="s">
        <v>18</v>
      </c>
      <c r="F251" s="5" t="s">
        <v>3</v>
      </c>
      <c r="G251" s="5" t="s">
        <v>10</v>
      </c>
      <c r="H251" s="5">
        <v>4</v>
      </c>
      <c r="I251" s="6">
        <v>2490</v>
      </c>
      <c r="J251" s="7">
        <v>0.1</v>
      </c>
      <c r="K251" s="6">
        <v>8964</v>
      </c>
      <c r="L251" s="6">
        <v>6184.26</v>
      </c>
      <c r="M251" s="5">
        <v>2779.74</v>
      </c>
      <c r="N251" s="5" t="s">
        <v>66</v>
      </c>
      <c r="O251" s="2"/>
      <c r="P251" s="2"/>
    </row>
    <row r="252" spans="1:16">
      <c r="A252" s="5" t="s">
        <v>515</v>
      </c>
      <c r="B252" s="8">
        <v>45950</v>
      </c>
      <c r="C252" s="14">
        <f t="shared" si="3"/>
        <v>45931</v>
      </c>
      <c r="D252" s="5" t="s">
        <v>516</v>
      </c>
      <c r="E252" s="5" t="s">
        <v>78</v>
      </c>
      <c r="F252" s="5" t="s">
        <v>2</v>
      </c>
      <c r="G252" s="5" t="s">
        <v>8</v>
      </c>
      <c r="H252" s="5">
        <v>1</v>
      </c>
      <c r="I252" s="6">
        <v>3630</v>
      </c>
      <c r="J252" s="7">
        <v>0.05</v>
      </c>
      <c r="K252" s="6">
        <v>3448.5</v>
      </c>
      <c r="L252" s="6">
        <v>2038.3</v>
      </c>
      <c r="M252" s="5">
        <v>1410.2</v>
      </c>
      <c r="N252" s="5" t="s">
        <v>64</v>
      </c>
      <c r="O252" s="2"/>
      <c r="P252" s="2"/>
    </row>
    <row r="253" spans="1:16">
      <c r="A253" s="5" t="s">
        <v>517</v>
      </c>
      <c r="B253" s="8">
        <v>45952</v>
      </c>
      <c r="C253" s="14">
        <f t="shared" si="3"/>
        <v>45931</v>
      </c>
      <c r="D253" s="5" t="s">
        <v>518</v>
      </c>
      <c r="E253" s="5" t="s">
        <v>342</v>
      </c>
      <c r="F253" s="5" t="s">
        <v>2</v>
      </c>
      <c r="G253" s="5" t="s">
        <v>10</v>
      </c>
      <c r="H253" s="5">
        <v>4</v>
      </c>
      <c r="I253" s="6">
        <v>2830</v>
      </c>
      <c r="J253" s="7">
        <v>0.05</v>
      </c>
      <c r="K253" s="6">
        <v>10754</v>
      </c>
      <c r="L253" s="6">
        <v>6652.1</v>
      </c>
      <c r="M253" s="5">
        <v>4101.8999999999996</v>
      </c>
      <c r="N253" s="5" t="s">
        <v>63</v>
      </c>
      <c r="O253" s="2"/>
      <c r="P253" s="2"/>
    </row>
    <row r="254" spans="1:16">
      <c r="A254" s="5" t="s">
        <v>519</v>
      </c>
      <c r="B254" s="8">
        <v>45952</v>
      </c>
      <c r="C254" s="14">
        <f t="shared" si="3"/>
        <v>45931</v>
      </c>
      <c r="D254" s="5" t="s">
        <v>421</v>
      </c>
      <c r="E254" s="5" t="s">
        <v>342</v>
      </c>
      <c r="F254" s="5" t="s">
        <v>2</v>
      </c>
      <c r="G254" s="5" t="s">
        <v>10</v>
      </c>
      <c r="H254" s="5">
        <v>4</v>
      </c>
      <c r="I254" s="6">
        <v>2860</v>
      </c>
      <c r="J254" s="7">
        <v>0.1</v>
      </c>
      <c r="K254" s="6">
        <v>10296</v>
      </c>
      <c r="L254" s="6">
        <v>6581.92</v>
      </c>
      <c r="M254" s="5">
        <v>3714.08</v>
      </c>
      <c r="N254" s="5" t="s">
        <v>66</v>
      </c>
      <c r="O254" s="2"/>
      <c r="P254" s="2"/>
    </row>
    <row r="255" spans="1:16">
      <c r="A255" s="5" t="s">
        <v>520</v>
      </c>
      <c r="B255" s="8">
        <v>45958</v>
      </c>
      <c r="C255" s="14">
        <f t="shared" si="3"/>
        <v>45931</v>
      </c>
      <c r="D255" s="5" t="s">
        <v>521</v>
      </c>
      <c r="E255" s="5" t="s">
        <v>100</v>
      </c>
      <c r="F255" s="5" t="s">
        <v>4</v>
      </c>
      <c r="G255" s="5" t="s">
        <v>9</v>
      </c>
      <c r="H255" s="5">
        <v>3</v>
      </c>
      <c r="I255" s="6">
        <v>1440</v>
      </c>
      <c r="J255" s="7">
        <v>0.15</v>
      </c>
      <c r="K255" s="6">
        <v>3672</v>
      </c>
      <c r="L255" s="6">
        <v>2583.29</v>
      </c>
      <c r="M255" s="5">
        <v>1088.71</v>
      </c>
      <c r="N255" s="5" t="s">
        <v>65</v>
      </c>
      <c r="O255" s="2"/>
      <c r="P255" s="2"/>
    </row>
    <row r="256" spans="1:16">
      <c r="A256" s="5" t="s">
        <v>522</v>
      </c>
      <c r="B256" s="8">
        <v>45959</v>
      </c>
      <c r="C256" s="14">
        <f t="shared" si="3"/>
        <v>45931</v>
      </c>
      <c r="D256" s="5" t="s">
        <v>523</v>
      </c>
      <c r="E256" s="5" t="s">
        <v>15</v>
      </c>
      <c r="F256" s="5" t="s">
        <v>5</v>
      </c>
      <c r="G256" s="5" t="s">
        <v>9</v>
      </c>
      <c r="H256" s="5">
        <v>1</v>
      </c>
      <c r="I256" s="6">
        <v>3370</v>
      </c>
      <c r="J256" s="7">
        <v>0.05</v>
      </c>
      <c r="K256" s="6">
        <v>3201.5</v>
      </c>
      <c r="L256" s="6">
        <v>2162.7600000000002</v>
      </c>
      <c r="M256" s="5">
        <v>1038.74</v>
      </c>
      <c r="N256" s="5" t="s">
        <v>63</v>
      </c>
      <c r="O256" s="2"/>
      <c r="P256" s="2"/>
    </row>
    <row r="257" spans="1:16">
      <c r="A257" s="5" t="s">
        <v>524</v>
      </c>
      <c r="B257" s="8">
        <v>45960</v>
      </c>
      <c r="C257" s="14">
        <f t="shared" si="3"/>
        <v>45931</v>
      </c>
      <c r="D257" s="5" t="s">
        <v>268</v>
      </c>
      <c r="E257" s="5" t="s">
        <v>100</v>
      </c>
      <c r="F257" s="5" t="s">
        <v>4</v>
      </c>
      <c r="G257" s="5" t="s">
        <v>11</v>
      </c>
      <c r="H257" s="5">
        <v>2</v>
      </c>
      <c r="I257" s="6">
        <v>1490</v>
      </c>
      <c r="J257" s="7">
        <v>0.05</v>
      </c>
      <c r="K257" s="6">
        <v>2831</v>
      </c>
      <c r="L257" s="6">
        <v>1725.24</v>
      </c>
      <c r="M257" s="5">
        <v>1105.76</v>
      </c>
      <c r="N257" s="5" t="s">
        <v>63</v>
      </c>
      <c r="O257" s="2"/>
      <c r="P257" s="2"/>
    </row>
    <row r="258" spans="1:16">
      <c r="A258" s="5" t="s">
        <v>525</v>
      </c>
      <c r="B258" s="8">
        <v>45964</v>
      </c>
      <c r="C258" s="14">
        <f t="shared" ref="C258:C321" si="4">DATE(YEAR(B258),MONTH(B258),1)</f>
        <v>45962</v>
      </c>
      <c r="D258" s="5" t="s">
        <v>526</v>
      </c>
      <c r="E258" s="5" t="s">
        <v>18</v>
      </c>
      <c r="F258" s="5" t="s">
        <v>3</v>
      </c>
      <c r="G258" s="5" t="s">
        <v>11</v>
      </c>
      <c r="H258" s="5">
        <v>2</v>
      </c>
      <c r="I258" s="6">
        <v>2470</v>
      </c>
      <c r="J258" s="7">
        <v>0.1</v>
      </c>
      <c r="K258" s="6">
        <v>4446</v>
      </c>
      <c r="L258" s="6">
        <v>3163.51</v>
      </c>
      <c r="M258" s="5">
        <v>1282.49</v>
      </c>
      <c r="N258" s="5" t="s">
        <v>64</v>
      </c>
      <c r="O258" s="2"/>
      <c r="P258" s="2"/>
    </row>
    <row r="259" spans="1:16">
      <c r="A259" s="5" t="s">
        <v>527</v>
      </c>
      <c r="B259" s="8">
        <v>45965</v>
      </c>
      <c r="C259" s="14">
        <f t="shared" si="4"/>
        <v>45962</v>
      </c>
      <c r="D259" s="5" t="s">
        <v>293</v>
      </c>
      <c r="E259" s="5" t="s">
        <v>130</v>
      </c>
      <c r="F259" s="5" t="s">
        <v>5</v>
      </c>
      <c r="G259" s="5" t="s">
        <v>11</v>
      </c>
      <c r="H259" s="5">
        <v>4</v>
      </c>
      <c r="I259" s="6">
        <v>3000</v>
      </c>
      <c r="J259" s="7">
        <v>0.05</v>
      </c>
      <c r="K259" s="6">
        <v>11400</v>
      </c>
      <c r="L259" s="6">
        <v>7892.5</v>
      </c>
      <c r="M259" s="5">
        <v>3507.5</v>
      </c>
      <c r="N259" s="5" t="s">
        <v>63</v>
      </c>
      <c r="O259" s="2"/>
      <c r="P259" s="2"/>
    </row>
    <row r="260" spans="1:16">
      <c r="A260" s="5" t="s">
        <v>528</v>
      </c>
      <c r="B260" s="8">
        <v>45966</v>
      </c>
      <c r="C260" s="14">
        <f t="shared" si="4"/>
        <v>45962</v>
      </c>
      <c r="D260" s="5" t="s">
        <v>529</v>
      </c>
      <c r="E260" s="5" t="s">
        <v>90</v>
      </c>
      <c r="F260" s="5" t="s">
        <v>3</v>
      </c>
      <c r="G260" s="5" t="s">
        <v>8</v>
      </c>
      <c r="H260" s="5">
        <v>1</v>
      </c>
      <c r="I260" s="6">
        <v>1950</v>
      </c>
      <c r="J260" s="7">
        <v>0.05</v>
      </c>
      <c r="K260" s="6">
        <v>1852.5</v>
      </c>
      <c r="L260" s="6">
        <v>1185.9100000000001</v>
      </c>
      <c r="M260" s="5">
        <v>666.59</v>
      </c>
      <c r="N260" s="5" t="s">
        <v>62</v>
      </c>
      <c r="O260" s="2"/>
      <c r="P260" s="2"/>
    </row>
    <row r="261" spans="1:16">
      <c r="A261" s="5" t="s">
        <v>530</v>
      </c>
      <c r="B261" s="8">
        <v>45968</v>
      </c>
      <c r="C261" s="14">
        <f t="shared" si="4"/>
        <v>45962</v>
      </c>
      <c r="D261" s="5" t="s">
        <v>260</v>
      </c>
      <c r="E261" s="5" t="s">
        <v>78</v>
      </c>
      <c r="F261" s="5" t="s">
        <v>2</v>
      </c>
      <c r="G261" s="5" t="s">
        <v>10</v>
      </c>
      <c r="H261" s="5">
        <v>1</v>
      </c>
      <c r="I261" s="6">
        <v>3560</v>
      </c>
      <c r="J261" s="7">
        <v>0.15</v>
      </c>
      <c r="K261" s="6">
        <v>3026</v>
      </c>
      <c r="L261" s="6">
        <v>2081.7399999999998</v>
      </c>
      <c r="M261" s="5">
        <v>944.26</v>
      </c>
      <c r="N261" s="5" t="s">
        <v>66</v>
      </c>
      <c r="O261" s="2"/>
      <c r="P261" s="2"/>
    </row>
    <row r="262" spans="1:16">
      <c r="A262" s="5" t="s">
        <v>531</v>
      </c>
      <c r="B262" s="8">
        <v>45968</v>
      </c>
      <c r="C262" s="14">
        <f t="shared" si="4"/>
        <v>45962</v>
      </c>
      <c r="D262" s="5" t="s">
        <v>365</v>
      </c>
      <c r="E262" s="5" t="s">
        <v>149</v>
      </c>
      <c r="F262" s="5" t="s">
        <v>2</v>
      </c>
      <c r="G262" s="5" t="s">
        <v>10</v>
      </c>
      <c r="H262" s="5">
        <v>3</v>
      </c>
      <c r="I262" s="6">
        <v>2280</v>
      </c>
      <c r="J262" s="7">
        <v>0.1</v>
      </c>
      <c r="K262" s="6">
        <v>6156</v>
      </c>
      <c r="L262" s="6">
        <v>3846.53</v>
      </c>
      <c r="M262" s="5">
        <v>2309.4699999999998</v>
      </c>
      <c r="N262" s="5" t="s">
        <v>62</v>
      </c>
      <c r="O262" s="2"/>
      <c r="P262" s="2"/>
    </row>
    <row r="263" spans="1:16">
      <c r="A263" s="5" t="s">
        <v>532</v>
      </c>
      <c r="B263" s="8">
        <v>45968</v>
      </c>
      <c r="C263" s="14">
        <f t="shared" si="4"/>
        <v>45962</v>
      </c>
      <c r="D263" s="5" t="s">
        <v>94</v>
      </c>
      <c r="E263" s="5" t="s">
        <v>18</v>
      </c>
      <c r="F263" s="5" t="s">
        <v>3</v>
      </c>
      <c r="G263" s="5" t="s">
        <v>11</v>
      </c>
      <c r="H263" s="5">
        <v>2</v>
      </c>
      <c r="I263" s="6">
        <v>2580</v>
      </c>
      <c r="J263" s="7">
        <v>0.05</v>
      </c>
      <c r="K263" s="6">
        <v>4902</v>
      </c>
      <c r="L263" s="6">
        <v>3152.73</v>
      </c>
      <c r="M263" s="5">
        <v>1749.27</v>
      </c>
      <c r="N263" s="5" t="s">
        <v>66</v>
      </c>
      <c r="O263" s="2"/>
      <c r="P263" s="2"/>
    </row>
    <row r="264" spans="1:16">
      <c r="A264" s="5" t="s">
        <v>533</v>
      </c>
      <c r="B264" s="8">
        <v>45970</v>
      </c>
      <c r="C264" s="14">
        <f t="shared" si="4"/>
        <v>45962</v>
      </c>
      <c r="D264" s="5" t="s">
        <v>534</v>
      </c>
      <c r="E264" s="5" t="s">
        <v>90</v>
      </c>
      <c r="F264" s="5" t="s">
        <v>3</v>
      </c>
      <c r="G264" s="5" t="s">
        <v>9</v>
      </c>
      <c r="H264" s="5">
        <v>2</v>
      </c>
      <c r="I264" s="6">
        <v>1990</v>
      </c>
      <c r="J264" s="7">
        <v>0.15</v>
      </c>
      <c r="K264" s="6">
        <v>3383</v>
      </c>
      <c r="L264" s="6">
        <v>2446.29</v>
      </c>
      <c r="M264" s="5">
        <v>936.71</v>
      </c>
      <c r="N264" s="5" t="s">
        <v>66</v>
      </c>
      <c r="O264" s="2"/>
      <c r="P264" s="2"/>
    </row>
    <row r="265" spans="1:16">
      <c r="A265" s="5" t="s">
        <v>535</v>
      </c>
      <c r="B265" s="8">
        <v>45970</v>
      </c>
      <c r="C265" s="14">
        <f t="shared" si="4"/>
        <v>45962</v>
      </c>
      <c r="D265" s="5" t="s">
        <v>163</v>
      </c>
      <c r="E265" s="5" t="s">
        <v>15</v>
      </c>
      <c r="F265" s="5" t="s">
        <v>5</v>
      </c>
      <c r="G265" s="5" t="s">
        <v>9</v>
      </c>
      <c r="H265" s="5">
        <v>2</v>
      </c>
      <c r="I265" s="6">
        <v>3590</v>
      </c>
      <c r="J265" s="7">
        <v>0.1</v>
      </c>
      <c r="K265" s="6">
        <v>6462</v>
      </c>
      <c r="L265" s="6">
        <v>4507.21</v>
      </c>
      <c r="M265" s="5">
        <v>1954.79</v>
      </c>
      <c r="N265" s="5" t="s">
        <v>66</v>
      </c>
      <c r="O265" s="2"/>
      <c r="P265" s="2"/>
    </row>
    <row r="266" spans="1:16">
      <c r="A266" s="5" t="s">
        <v>536</v>
      </c>
      <c r="B266" s="8">
        <v>45971</v>
      </c>
      <c r="C266" s="14">
        <f t="shared" si="4"/>
        <v>45962</v>
      </c>
      <c r="D266" s="5" t="s">
        <v>386</v>
      </c>
      <c r="E266" s="5" t="s">
        <v>15</v>
      </c>
      <c r="F266" s="5" t="s">
        <v>5</v>
      </c>
      <c r="G266" s="5" t="s">
        <v>11</v>
      </c>
      <c r="H266" s="5">
        <v>1</v>
      </c>
      <c r="I266" s="6">
        <v>3610</v>
      </c>
      <c r="J266" s="7">
        <v>0.05</v>
      </c>
      <c r="K266" s="6">
        <v>3429.5</v>
      </c>
      <c r="L266" s="6">
        <v>2184.59</v>
      </c>
      <c r="M266" s="5">
        <v>1244.9100000000001</v>
      </c>
      <c r="N266" s="5" t="s">
        <v>63</v>
      </c>
      <c r="O266" s="2"/>
      <c r="P266" s="2"/>
    </row>
    <row r="267" spans="1:16">
      <c r="A267" s="5" t="s">
        <v>537</v>
      </c>
      <c r="B267" s="8">
        <v>45972</v>
      </c>
      <c r="C267" s="14">
        <f t="shared" si="4"/>
        <v>45962</v>
      </c>
      <c r="D267" s="5" t="s">
        <v>365</v>
      </c>
      <c r="E267" s="5" t="s">
        <v>83</v>
      </c>
      <c r="F267" s="5" t="s">
        <v>4</v>
      </c>
      <c r="G267" s="5" t="s">
        <v>11</v>
      </c>
      <c r="H267" s="5">
        <v>2</v>
      </c>
      <c r="I267" s="6">
        <v>1590</v>
      </c>
      <c r="J267" s="7">
        <v>0.1</v>
      </c>
      <c r="K267" s="6">
        <v>2862</v>
      </c>
      <c r="L267" s="6">
        <v>1779.35</v>
      </c>
      <c r="M267" s="5">
        <v>1082.6500000000001</v>
      </c>
      <c r="N267" s="5" t="s">
        <v>64</v>
      </c>
      <c r="O267" s="2"/>
      <c r="P267" s="2"/>
    </row>
    <row r="268" spans="1:16">
      <c r="A268" s="5" t="s">
        <v>538</v>
      </c>
      <c r="B268" s="8">
        <v>45973</v>
      </c>
      <c r="C268" s="14">
        <f t="shared" si="4"/>
        <v>45962</v>
      </c>
      <c r="D268" s="5" t="s">
        <v>518</v>
      </c>
      <c r="E268" s="5" t="s">
        <v>100</v>
      </c>
      <c r="F268" s="5" t="s">
        <v>4</v>
      </c>
      <c r="G268" s="5" t="s">
        <v>10</v>
      </c>
      <c r="H268" s="5">
        <v>1</v>
      </c>
      <c r="I268" s="6">
        <v>1490</v>
      </c>
      <c r="J268" s="7">
        <v>0</v>
      </c>
      <c r="K268" s="6">
        <v>1490</v>
      </c>
      <c r="L268" s="6">
        <v>872.6</v>
      </c>
      <c r="M268" s="5">
        <v>617.4</v>
      </c>
      <c r="N268" s="5" t="s">
        <v>66</v>
      </c>
      <c r="O268" s="2"/>
      <c r="P268" s="2"/>
    </row>
    <row r="269" spans="1:16">
      <c r="A269" s="5" t="s">
        <v>539</v>
      </c>
      <c r="B269" s="8">
        <v>45975</v>
      </c>
      <c r="C269" s="14">
        <f t="shared" si="4"/>
        <v>45962</v>
      </c>
      <c r="D269" s="5" t="s">
        <v>540</v>
      </c>
      <c r="E269" s="5" t="s">
        <v>17</v>
      </c>
      <c r="F269" s="5" t="s">
        <v>4</v>
      </c>
      <c r="G269" s="5" t="s">
        <v>11</v>
      </c>
      <c r="H269" s="5">
        <v>3</v>
      </c>
      <c r="I269" s="6">
        <v>3060</v>
      </c>
      <c r="J269" s="7">
        <v>0.25</v>
      </c>
      <c r="K269" s="6">
        <v>6885</v>
      </c>
      <c r="L269" s="6">
        <v>5522.62</v>
      </c>
      <c r="M269" s="5">
        <v>1362.38</v>
      </c>
      <c r="N269" s="5" t="s">
        <v>64</v>
      </c>
      <c r="O269" s="2"/>
      <c r="P269" s="2"/>
    </row>
    <row r="270" spans="1:16">
      <c r="A270" s="5" t="s">
        <v>541</v>
      </c>
      <c r="B270" s="8">
        <v>45977</v>
      </c>
      <c r="C270" s="14">
        <f t="shared" si="4"/>
        <v>45962</v>
      </c>
      <c r="D270" s="5" t="s">
        <v>542</v>
      </c>
      <c r="E270" s="5" t="s">
        <v>83</v>
      </c>
      <c r="F270" s="5" t="s">
        <v>4</v>
      </c>
      <c r="G270" s="5" t="s">
        <v>9</v>
      </c>
      <c r="H270" s="5">
        <v>2</v>
      </c>
      <c r="I270" s="6">
        <v>1550</v>
      </c>
      <c r="J270" s="7">
        <v>0.2</v>
      </c>
      <c r="K270" s="6">
        <v>2480</v>
      </c>
      <c r="L270" s="6">
        <v>1797.56</v>
      </c>
      <c r="M270" s="5">
        <v>682.44</v>
      </c>
      <c r="N270" s="5" t="s">
        <v>65</v>
      </c>
      <c r="O270" s="2"/>
      <c r="P270" s="2"/>
    </row>
    <row r="271" spans="1:16">
      <c r="A271" s="5" t="s">
        <v>543</v>
      </c>
      <c r="B271" s="8">
        <v>45978</v>
      </c>
      <c r="C271" s="14">
        <f t="shared" si="4"/>
        <v>45962</v>
      </c>
      <c r="D271" s="5" t="s">
        <v>114</v>
      </c>
      <c r="E271" s="5" t="s">
        <v>221</v>
      </c>
      <c r="F271" s="5" t="s">
        <v>2</v>
      </c>
      <c r="G271" s="5" t="s">
        <v>9</v>
      </c>
      <c r="H271" s="5">
        <v>1</v>
      </c>
      <c r="I271" s="6">
        <v>1920</v>
      </c>
      <c r="J271" s="7">
        <v>0.1</v>
      </c>
      <c r="K271" s="6">
        <v>1728</v>
      </c>
      <c r="L271" s="6">
        <v>1031.78</v>
      </c>
      <c r="M271" s="5">
        <v>696.22</v>
      </c>
      <c r="N271" s="5" t="s">
        <v>66</v>
      </c>
      <c r="O271" s="2"/>
      <c r="P271" s="2"/>
    </row>
    <row r="272" spans="1:16">
      <c r="A272" s="5" t="s">
        <v>544</v>
      </c>
      <c r="B272" s="8">
        <v>45981</v>
      </c>
      <c r="C272" s="14">
        <f t="shared" si="4"/>
        <v>45962</v>
      </c>
      <c r="D272" s="5" t="s">
        <v>484</v>
      </c>
      <c r="E272" s="5" t="s">
        <v>95</v>
      </c>
      <c r="F272" s="5" t="s">
        <v>4</v>
      </c>
      <c r="G272" s="5" t="s">
        <v>8</v>
      </c>
      <c r="H272" s="5">
        <v>1</v>
      </c>
      <c r="I272" s="6">
        <v>1960</v>
      </c>
      <c r="J272" s="7">
        <v>0.1</v>
      </c>
      <c r="K272" s="6">
        <v>1764</v>
      </c>
      <c r="L272" s="6">
        <v>1135.1600000000001</v>
      </c>
      <c r="M272" s="5">
        <v>628.84</v>
      </c>
      <c r="N272" s="5" t="s">
        <v>66</v>
      </c>
      <c r="O272" s="2"/>
      <c r="P272" s="2"/>
    </row>
    <row r="273" spans="1:16">
      <c r="A273" s="5" t="s">
        <v>545</v>
      </c>
      <c r="B273" s="8">
        <v>45981</v>
      </c>
      <c r="C273" s="14">
        <f t="shared" si="4"/>
        <v>45962</v>
      </c>
      <c r="D273" s="5" t="s">
        <v>518</v>
      </c>
      <c r="E273" s="5" t="s">
        <v>121</v>
      </c>
      <c r="F273" s="5" t="s">
        <v>3</v>
      </c>
      <c r="G273" s="5" t="s">
        <v>11</v>
      </c>
      <c r="H273" s="5">
        <v>1</v>
      </c>
      <c r="I273" s="6">
        <v>1290</v>
      </c>
      <c r="J273" s="7">
        <v>0</v>
      </c>
      <c r="K273" s="6">
        <v>1290</v>
      </c>
      <c r="L273" s="6">
        <v>771.45</v>
      </c>
      <c r="M273" s="5">
        <v>518.54999999999995</v>
      </c>
      <c r="N273" s="5" t="s">
        <v>63</v>
      </c>
      <c r="O273" s="2"/>
      <c r="P273" s="2"/>
    </row>
    <row r="274" spans="1:16">
      <c r="A274" s="5" t="s">
        <v>546</v>
      </c>
      <c r="B274" s="8">
        <v>45982</v>
      </c>
      <c r="C274" s="14">
        <f t="shared" si="4"/>
        <v>45962</v>
      </c>
      <c r="D274" s="5" t="s">
        <v>540</v>
      </c>
      <c r="E274" s="5" t="s">
        <v>221</v>
      </c>
      <c r="F274" s="5" t="s">
        <v>2</v>
      </c>
      <c r="G274" s="5" t="s">
        <v>9</v>
      </c>
      <c r="H274" s="5">
        <v>4</v>
      </c>
      <c r="I274" s="6">
        <v>1950</v>
      </c>
      <c r="J274" s="7">
        <v>0.2</v>
      </c>
      <c r="K274" s="6">
        <v>6240</v>
      </c>
      <c r="L274" s="6">
        <v>4234.37</v>
      </c>
      <c r="M274" s="5">
        <v>2005.63</v>
      </c>
      <c r="N274" s="5" t="s">
        <v>64</v>
      </c>
      <c r="O274" s="2"/>
      <c r="P274" s="2"/>
    </row>
    <row r="275" spans="1:16">
      <c r="A275" s="5" t="s">
        <v>547</v>
      </c>
      <c r="B275" s="8">
        <v>45983</v>
      </c>
      <c r="C275" s="14">
        <f t="shared" si="4"/>
        <v>45962</v>
      </c>
      <c r="D275" s="5" t="s">
        <v>548</v>
      </c>
      <c r="E275" s="5" t="s">
        <v>125</v>
      </c>
      <c r="F275" s="5" t="s">
        <v>5</v>
      </c>
      <c r="G275" s="5" t="s">
        <v>11</v>
      </c>
      <c r="H275" s="5">
        <v>1</v>
      </c>
      <c r="I275" s="6">
        <v>1820</v>
      </c>
      <c r="J275" s="7">
        <v>0.15</v>
      </c>
      <c r="K275" s="6">
        <v>1547</v>
      </c>
      <c r="L275" s="6">
        <v>1026.03</v>
      </c>
      <c r="M275" s="5">
        <v>520.97</v>
      </c>
      <c r="N275" s="5" t="s">
        <v>64</v>
      </c>
      <c r="O275" s="2"/>
      <c r="P275" s="2"/>
    </row>
    <row r="276" spans="1:16">
      <c r="A276" s="5" t="s">
        <v>549</v>
      </c>
      <c r="B276" s="8">
        <v>45984</v>
      </c>
      <c r="C276" s="14">
        <f t="shared" si="4"/>
        <v>45962</v>
      </c>
      <c r="D276" s="5" t="s">
        <v>550</v>
      </c>
      <c r="E276" s="5" t="s">
        <v>130</v>
      </c>
      <c r="F276" s="5" t="s">
        <v>5</v>
      </c>
      <c r="G276" s="5" t="s">
        <v>8</v>
      </c>
      <c r="H276" s="5">
        <v>3</v>
      </c>
      <c r="I276" s="6">
        <v>3090</v>
      </c>
      <c r="J276" s="7">
        <v>0.15</v>
      </c>
      <c r="K276" s="6">
        <v>7879.5</v>
      </c>
      <c r="L276" s="6">
        <v>5865.62</v>
      </c>
      <c r="M276" s="5">
        <v>2013.88</v>
      </c>
      <c r="N276" s="5" t="s">
        <v>63</v>
      </c>
      <c r="O276" s="2"/>
      <c r="P276" s="2"/>
    </row>
    <row r="277" spans="1:16">
      <c r="A277" s="5" t="s">
        <v>551</v>
      </c>
      <c r="B277" s="8">
        <v>45988</v>
      </c>
      <c r="C277" s="14">
        <f t="shared" si="4"/>
        <v>45962</v>
      </c>
      <c r="D277" s="5" t="s">
        <v>552</v>
      </c>
      <c r="E277" s="5" t="s">
        <v>15</v>
      </c>
      <c r="F277" s="5" t="s">
        <v>5</v>
      </c>
      <c r="G277" s="5" t="s">
        <v>10</v>
      </c>
      <c r="H277" s="5">
        <v>1</v>
      </c>
      <c r="I277" s="6">
        <v>3440</v>
      </c>
      <c r="J277" s="7">
        <v>0.2</v>
      </c>
      <c r="K277" s="6">
        <v>2752</v>
      </c>
      <c r="L277" s="6">
        <v>2219.5</v>
      </c>
      <c r="M277" s="5">
        <v>532.5</v>
      </c>
      <c r="N277" s="5" t="s">
        <v>66</v>
      </c>
      <c r="O277" s="2"/>
      <c r="P277" s="2"/>
    </row>
    <row r="278" spans="1:16">
      <c r="A278" s="5" t="s">
        <v>553</v>
      </c>
      <c r="B278" s="8">
        <v>45991</v>
      </c>
      <c r="C278" s="14">
        <f t="shared" si="4"/>
        <v>45962</v>
      </c>
      <c r="D278" s="5" t="s">
        <v>323</v>
      </c>
      <c r="E278" s="5" t="s">
        <v>95</v>
      </c>
      <c r="F278" s="5" t="s">
        <v>4</v>
      </c>
      <c r="G278" s="5" t="s">
        <v>10</v>
      </c>
      <c r="H278" s="5">
        <v>4</v>
      </c>
      <c r="I278" s="6">
        <v>1940</v>
      </c>
      <c r="J278" s="7">
        <v>0</v>
      </c>
      <c r="K278" s="6">
        <v>7760</v>
      </c>
      <c r="L278" s="6">
        <v>4586.8100000000004</v>
      </c>
      <c r="M278" s="5">
        <v>3173.19</v>
      </c>
      <c r="N278" s="5" t="s">
        <v>63</v>
      </c>
      <c r="O278" s="2"/>
      <c r="P278" s="2"/>
    </row>
    <row r="279" spans="1:16">
      <c r="A279" s="5" t="s">
        <v>554</v>
      </c>
      <c r="B279" s="8">
        <v>45991</v>
      </c>
      <c r="C279" s="14">
        <f t="shared" si="4"/>
        <v>45962</v>
      </c>
      <c r="D279" s="5" t="s">
        <v>555</v>
      </c>
      <c r="E279" s="5" t="s">
        <v>149</v>
      </c>
      <c r="F279" s="5" t="s">
        <v>2</v>
      </c>
      <c r="G279" s="5" t="s">
        <v>8</v>
      </c>
      <c r="H279" s="5">
        <v>1</v>
      </c>
      <c r="I279" s="6">
        <v>2240</v>
      </c>
      <c r="J279" s="7">
        <v>0</v>
      </c>
      <c r="K279" s="6">
        <v>2240</v>
      </c>
      <c r="L279" s="6">
        <v>1303.22</v>
      </c>
      <c r="M279" s="5">
        <v>936.78</v>
      </c>
      <c r="N279" s="5" t="s">
        <v>66</v>
      </c>
      <c r="O279" s="2"/>
      <c r="P279" s="2"/>
    </row>
    <row r="280" spans="1:16">
      <c r="A280" s="5" t="s">
        <v>556</v>
      </c>
      <c r="B280" s="8">
        <v>45993</v>
      </c>
      <c r="C280" s="14">
        <f t="shared" si="4"/>
        <v>45992</v>
      </c>
      <c r="D280" s="5" t="s">
        <v>382</v>
      </c>
      <c r="E280" s="5" t="s">
        <v>78</v>
      </c>
      <c r="F280" s="5" t="s">
        <v>2</v>
      </c>
      <c r="G280" s="5" t="s">
        <v>9</v>
      </c>
      <c r="H280" s="5">
        <v>3</v>
      </c>
      <c r="I280" s="6">
        <v>3590</v>
      </c>
      <c r="J280" s="7">
        <v>0.15</v>
      </c>
      <c r="K280" s="6">
        <v>9154.5</v>
      </c>
      <c r="L280" s="6">
        <v>6374.64</v>
      </c>
      <c r="M280" s="5">
        <v>2779.86</v>
      </c>
      <c r="N280" s="5" t="s">
        <v>62</v>
      </c>
      <c r="O280" s="2"/>
      <c r="P280" s="2"/>
    </row>
    <row r="281" spans="1:16">
      <c r="A281" s="5" t="s">
        <v>557</v>
      </c>
      <c r="B281" s="8">
        <v>45994</v>
      </c>
      <c r="C281" s="14">
        <f t="shared" si="4"/>
        <v>45992</v>
      </c>
      <c r="D281" s="5" t="s">
        <v>496</v>
      </c>
      <c r="E281" s="5" t="s">
        <v>149</v>
      </c>
      <c r="F281" s="5" t="s">
        <v>2</v>
      </c>
      <c r="G281" s="5" t="s">
        <v>8</v>
      </c>
      <c r="H281" s="5">
        <v>1</v>
      </c>
      <c r="I281" s="6">
        <v>2290</v>
      </c>
      <c r="J281" s="7">
        <v>0.2</v>
      </c>
      <c r="K281" s="6">
        <v>1832</v>
      </c>
      <c r="L281" s="6">
        <v>1300.81</v>
      </c>
      <c r="M281" s="5">
        <v>531.19000000000005</v>
      </c>
      <c r="N281" s="5" t="s">
        <v>62</v>
      </c>
      <c r="O281" s="2"/>
      <c r="P281" s="2"/>
    </row>
    <row r="282" spans="1:16">
      <c r="A282" s="5" t="s">
        <v>558</v>
      </c>
      <c r="B282" s="8">
        <v>45997</v>
      </c>
      <c r="C282" s="14">
        <f t="shared" si="4"/>
        <v>45992</v>
      </c>
      <c r="D282" s="5" t="s">
        <v>559</v>
      </c>
      <c r="E282" s="5" t="s">
        <v>15</v>
      </c>
      <c r="F282" s="5" t="s">
        <v>5</v>
      </c>
      <c r="G282" s="5" t="s">
        <v>8</v>
      </c>
      <c r="H282" s="5">
        <v>2</v>
      </c>
      <c r="I282" s="6">
        <v>3520</v>
      </c>
      <c r="J282" s="7">
        <v>0.15</v>
      </c>
      <c r="K282" s="6">
        <v>5984</v>
      </c>
      <c r="L282" s="6">
        <v>4518.03</v>
      </c>
      <c r="M282" s="5">
        <v>1465.97</v>
      </c>
      <c r="N282" s="5" t="s">
        <v>62</v>
      </c>
      <c r="O282" s="2"/>
      <c r="P282" s="2"/>
    </row>
    <row r="283" spans="1:16">
      <c r="A283" s="5" t="s">
        <v>560</v>
      </c>
      <c r="B283" s="8">
        <v>45997</v>
      </c>
      <c r="C283" s="14">
        <f t="shared" si="4"/>
        <v>45992</v>
      </c>
      <c r="D283" s="5" t="s">
        <v>341</v>
      </c>
      <c r="E283" s="5" t="s">
        <v>221</v>
      </c>
      <c r="F283" s="5" t="s">
        <v>2</v>
      </c>
      <c r="G283" s="5" t="s">
        <v>9</v>
      </c>
      <c r="H283" s="5">
        <v>1</v>
      </c>
      <c r="I283" s="6">
        <v>1890</v>
      </c>
      <c r="J283" s="7">
        <v>0.05</v>
      </c>
      <c r="K283" s="6">
        <v>1795.5</v>
      </c>
      <c r="L283" s="6">
        <v>1035.1300000000001</v>
      </c>
      <c r="M283" s="5">
        <v>760.37</v>
      </c>
      <c r="N283" s="5" t="s">
        <v>64</v>
      </c>
      <c r="O283" s="2"/>
      <c r="P283" s="2"/>
    </row>
    <row r="284" spans="1:16">
      <c r="A284" s="5" t="s">
        <v>561</v>
      </c>
      <c r="B284" s="8">
        <v>45999</v>
      </c>
      <c r="C284" s="14">
        <f t="shared" si="4"/>
        <v>45992</v>
      </c>
      <c r="D284" s="5" t="s">
        <v>562</v>
      </c>
      <c r="E284" s="5" t="s">
        <v>125</v>
      </c>
      <c r="F284" s="5" t="s">
        <v>5</v>
      </c>
      <c r="G284" s="5" t="s">
        <v>10</v>
      </c>
      <c r="H284" s="5">
        <v>2</v>
      </c>
      <c r="I284" s="6">
        <v>1740</v>
      </c>
      <c r="J284" s="7">
        <v>0.1</v>
      </c>
      <c r="K284" s="6">
        <v>3132</v>
      </c>
      <c r="L284" s="6">
        <v>2131.5</v>
      </c>
      <c r="M284" s="5">
        <v>1000.5</v>
      </c>
      <c r="N284" s="5" t="s">
        <v>65</v>
      </c>
      <c r="O284" s="2"/>
      <c r="P284" s="2"/>
    </row>
    <row r="285" spans="1:16">
      <c r="A285" s="5" t="s">
        <v>563</v>
      </c>
      <c r="B285" s="8">
        <v>46000</v>
      </c>
      <c r="C285" s="14">
        <f t="shared" si="4"/>
        <v>45992</v>
      </c>
      <c r="D285" s="5" t="s">
        <v>55</v>
      </c>
      <c r="E285" s="5" t="s">
        <v>14</v>
      </c>
      <c r="F285" s="5" t="s">
        <v>5</v>
      </c>
      <c r="G285" s="5" t="s">
        <v>11</v>
      </c>
      <c r="H285" s="5">
        <v>3</v>
      </c>
      <c r="I285" s="6">
        <v>5400</v>
      </c>
      <c r="J285" s="7">
        <v>0.05</v>
      </c>
      <c r="K285" s="6">
        <v>15390</v>
      </c>
      <c r="L285" s="6">
        <v>10557.23</v>
      </c>
      <c r="M285" s="5">
        <v>4832.7700000000004</v>
      </c>
      <c r="N285" s="5" t="s">
        <v>62</v>
      </c>
      <c r="O285" s="2"/>
      <c r="P285" s="2"/>
    </row>
    <row r="286" spans="1:16">
      <c r="A286" s="5" t="s">
        <v>564</v>
      </c>
      <c r="B286" s="8">
        <v>46000</v>
      </c>
      <c r="C286" s="14">
        <f t="shared" si="4"/>
        <v>45992</v>
      </c>
      <c r="D286" s="5" t="s">
        <v>106</v>
      </c>
      <c r="E286" s="5" t="s">
        <v>17</v>
      </c>
      <c r="F286" s="5" t="s">
        <v>4</v>
      </c>
      <c r="G286" s="5" t="s">
        <v>11</v>
      </c>
      <c r="H286" s="5">
        <v>2</v>
      </c>
      <c r="I286" s="6">
        <v>3120</v>
      </c>
      <c r="J286" s="7">
        <v>0.15</v>
      </c>
      <c r="K286" s="6">
        <v>5304</v>
      </c>
      <c r="L286" s="6">
        <v>3591.46</v>
      </c>
      <c r="M286" s="5">
        <v>1712.54</v>
      </c>
      <c r="N286" s="5" t="s">
        <v>66</v>
      </c>
      <c r="O286" s="2"/>
      <c r="P286" s="2"/>
    </row>
    <row r="287" spans="1:16">
      <c r="A287" s="5" t="s">
        <v>565</v>
      </c>
      <c r="B287" s="8">
        <v>46001</v>
      </c>
      <c r="C287" s="14">
        <f t="shared" si="4"/>
        <v>45992</v>
      </c>
      <c r="D287" s="5" t="s">
        <v>566</v>
      </c>
      <c r="E287" s="5" t="s">
        <v>18</v>
      </c>
      <c r="F287" s="5" t="s">
        <v>3</v>
      </c>
      <c r="G287" s="5" t="s">
        <v>10</v>
      </c>
      <c r="H287" s="5">
        <v>3</v>
      </c>
      <c r="I287" s="6">
        <v>2520</v>
      </c>
      <c r="J287" s="7">
        <v>0.05</v>
      </c>
      <c r="K287" s="6">
        <v>7182</v>
      </c>
      <c r="L287" s="6">
        <v>4784.57</v>
      </c>
      <c r="M287" s="5">
        <v>2397.4299999999998</v>
      </c>
      <c r="N287" s="5" t="s">
        <v>65</v>
      </c>
      <c r="O287" s="2"/>
      <c r="P287" s="2"/>
    </row>
    <row r="288" spans="1:16">
      <c r="A288" s="5" t="s">
        <v>567</v>
      </c>
      <c r="B288" s="8">
        <v>46001</v>
      </c>
      <c r="C288" s="14">
        <f t="shared" si="4"/>
        <v>45992</v>
      </c>
      <c r="D288" s="5" t="s">
        <v>325</v>
      </c>
      <c r="E288" s="5" t="s">
        <v>17</v>
      </c>
      <c r="F288" s="5" t="s">
        <v>4</v>
      </c>
      <c r="G288" s="5" t="s">
        <v>11</v>
      </c>
      <c r="H288" s="5">
        <v>1</v>
      </c>
      <c r="I288" s="6">
        <v>3090</v>
      </c>
      <c r="J288" s="7">
        <v>0</v>
      </c>
      <c r="K288" s="6">
        <v>3090</v>
      </c>
      <c r="L288" s="6">
        <v>1858.56</v>
      </c>
      <c r="M288" s="5">
        <v>1231.44</v>
      </c>
      <c r="N288" s="5" t="s">
        <v>62</v>
      </c>
      <c r="O288" s="2"/>
      <c r="P288" s="2"/>
    </row>
    <row r="289" spans="1:16">
      <c r="A289" s="5" t="s">
        <v>568</v>
      </c>
      <c r="B289" s="8">
        <v>46003</v>
      </c>
      <c r="C289" s="14">
        <f t="shared" si="4"/>
        <v>45992</v>
      </c>
      <c r="D289" s="5" t="s">
        <v>124</v>
      </c>
      <c r="E289" s="5" t="s">
        <v>18</v>
      </c>
      <c r="F289" s="5" t="s">
        <v>3</v>
      </c>
      <c r="G289" s="5" t="s">
        <v>9</v>
      </c>
      <c r="H289" s="5">
        <v>4</v>
      </c>
      <c r="I289" s="6">
        <v>2500</v>
      </c>
      <c r="J289" s="7">
        <v>0.15</v>
      </c>
      <c r="K289" s="6">
        <v>8500</v>
      </c>
      <c r="L289" s="6">
        <v>6233.95</v>
      </c>
      <c r="M289" s="5">
        <v>2266.0500000000002</v>
      </c>
      <c r="N289" s="5" t="s">
        <v>66</v>
      </c>
      <c r="O289" s="2"/>
      <c r="P289" s="2"/>
    </row>
    <row r="290" spans="1:16">
      <c r="A290" s="5" t="s">
        <v>569</v>
      </c>
      <c r="B290" s="8">
        <v>46006</v>
      </c>
      <c r="C290" s="14">
        <f t="shared" si="4"/>
        <v>45992</v>
      </c>
      <c r="D290" s="5" t="s">
        <v>570</v>
      </c>
      <c r="E290" s="5" t="s">
        <v>18</v>
      </c>
      <c r="F290" s="5" t="s">
        <v>3</v>
      </c>
      <c r="G290" s="5" t="s">
        <v>9</v>
      </c>
      <c r="H290" s="5">
        <v>2</v>
      </c>
      <c r="I290" s="6">
        <v>2440</v>
      </c>
      <c r="J290" s="7">
        <v>0.05</v>
      </c>
      <c r="K290" s="6">
        <v>4636</v>
      </c>
      <c r="L290" s="6">
        <v>3169.58</v>
      </c>
      <c r="M290" s="5">
        <v>1466.42</v>
      </c>
      <c r="N290" s="5" t="s">
        <v>66</v>
      </c>
      <c r="O290" s="2"/>
      <c r="P290" s="2"/>
    </row>
    <row r="291" spans="1:16">
      <c r="A291" s="5" t="s">
        <v>571</v>
      </c>
      <c r="B291" s="8">
        <v>46011</v>
      </c>
      <c r="C291" s="14">
        <f t="shared" si="4"/>
        <v>45992</v>
      </c>
      <c r="D291" s="5" t="s">
        <v>372</v>
      </c>
      <c r="E291" s="5" t="s">
        <v>95</v>
      </c>
      <c r="F291" s="5" t="s">
        <v>4</v>
      </c>
      <c r="G291" s="5" t="s">
        <v>11</v>
      </c>
      <c r="H291" s="5">
        <v>3</v>
      </c>
      <c r="I291" s="6">
        <v>1980</v>
      </c>
      <c r="J291" s="7">
        <v>0.1</v>
      </c>
      <c r="K291" s="6">
        <v>5346</v>
      </c>
      <c r="L291" s="6">
        <v>3548.7</v>
      </c>
      <c r="M291" s="5">
        <v>1797.3</v>
      </c>
      <c r="N291" s="5" t="s">
        <v>63</v>
      </c>
      <c r="O291" s="2"/>
      <c r="P291" s="2"/>
    </row>
    <row r="292" spans="1:16">
      <c r="A292" s="5" t="s">
        <v>572</v>
      </c>
      <c r="B292" s="8">
        <v>46015</v>
      </c>
      <c r="C292" s="14">
        <f t="shared" si="4"/>
        <v>45992</v>
      </c>
      <c r="D292" s="5" t="s">
        <v>182</v>
      </c>
      <c r="E292" s="5" t="s">
        <v>221</v>
      </c>
      <c r="F292" s="5" t="s">
        <v>2</v>
      </c>
      <c r="G292" s="5" t="s">
        <v>11</v>
      </c>
      <c r="H292" s="5">
        <v>1</v>
      </c>
      <c r="I292" s="6">
        <v>1890</v>
      </c>
      <c r="J292" s="7">
        <v>0.05</v>
      </c>
      <c r="K292" s="6">
        <v>1795.5</v>
      </c>
      <c r="L292" s="6">
        <v>1040.76</v>
      </c>
      <c r="M292" s="5">
        <v>754.74</v>
      </c>
      <c r="N292" s="5" t="s">
        <v>64</v>
      </c>
      <c r="O292" s="2"/>
      <c r="P292" s="2"/>
    </row>
    <row r="293" spans="1:16">
      <c r="A293" s="5" t="s">
        <v>573</v>
      </c>
      <c r="B293" s="8">
        <v>46017</v>
      </c>
      <c r="C293" s="14">
        <f t="shared" si="4"/>
        <v>45992</v>
      </c>
      <c r="D293" s="5" t="s">
        <v>574</v>
      </c>
      <c r="E293" s="5" t="s">
        <v>221</v>
      </c>
      <c r="F293" s="5" t="s">
        <v>2</v>
      </c>
      <c r="G293" s="5" t="s">
        <v>9</v>
      </c>
      <c r="H293" s="5">
        <v>1</v>
      </c>
      <c r="I293" s="6">
        <v>1920</v>
      </c>
      <c r="J293" s="7">
        <v>0</v>
      </c>
      <c r="K293" s="6">
        <v>1920</v>
      </c>
      <c r="L293" s="6">
        <v>1067.3</v>
      </c>
      <c r="M293" s="5">
        <v>852.7</v>
      </c>
      <c r="N293" s="5" t="s">
        <v>63</v>
      </c>
      <c r="O293" s="2"/>
      <c r="P293" s="2"/>
    </row>
    <row r="294" spans="1:16">
      <c r="A294" s="5" t="s">
        <v>575</v>
      </c>
      <c r="B294" s="8">
        <v>46018</v>
      </c>
      <c r="C294" s="14">
        <f t="shared" si="4"/>
        <v>45992</v>
      </c>
      <c r="D294" s="5" t="s">
        <v>206</v>
      </c>
      <c r="E294" s="5" t="s">
        <v>130</v>
      </c>
      <c r="F294" s="5" t="s">
        <v>5</v>
      </c>
      <c r="G294" s="5" t="s">
        <v>8</v>
      </c>
      <c r="H294" s="5">
        <v>2</v>
      </c>
      <c r="I294" s="6">
        <v>3110</v>
      </c>
      <c r="J294" s="7">
        <v>0</v>
      </c>
      <c r="K294" s="6">
        <v>6220</v>
      </c>
      <c r="L294" s="6">
        <v>3809.51</v>
      </c>
      <c r="M294" s="5">
        <v>2410.4899999999998</v>
      </c>
      <c r="N294" s="5" t="s">
        <v>66</v>
      </c>
      <c r="O294" s="2"/>
      <c r="P294" s="2"/>
    </row>
    <row r="295" spans="1:16">
      <c r="A295" s="5" t="s">
        <v>576</v>
      </c>
      <c r="B295" s="8">
        <v>46021</v>
      </c>
      <c r="C295" s="14">
        <f t="shared" si="4"/>
        <v>45992</v>
      </c>
      <c r="D295" s="5" t="s">
        <v>577</v>
      </c>
      <c r="E295" s="5" t="s">
        <v>125</v>
      </c>
      <c r="F295" s="5" t="s">
        <v>5</v>
      </c>
      <c r="G295" s="5" t="s">
        <v>9</v>
      </c>
      <c r="H295" s="5">
        <v>2</v>
      </c>
      <c r="I295" s="6">
        <v>1810</v>
      </c>
      <c r="J295" s="7">
        <v>0.1</v>
      </c>
      <c r="K295" s="6">
        <v>3258</v>
      </c>
      <c r="L295" s="6">
        <v>2040.7</v>
      </c>
      <c r="M295" s="5">
        <v>1217.3</v>
      </c>
      <c r="N295" s="5" t="s">
        <v>63</v>
      </c>
      <c r="O295" s="2"/>
      <c r="P295" s="2"/>
    </row>
    <row r="296" spans="1:16">
      <c r="A296" s="5" t="s">
        <v>578</v>
      </c>
      <c r="B296" s="8">
        <v>46021</v>
      </c>
      <c r="C296" s="14">
        <f t="shared" si="4"/>
        <v>45992</v>
      </c>
      <c r="D296" s="5" t="s">
        <v>59</v>
      </c>
      <c r="E296" s="5" t="s">
        <v>83</v>
      </c>
      <c r="F296" s="5" t="s">
        <v>4</v>
      </c>
      <c r="G296" s="5" t="s">
        <v>8</v>
      </c>
      <c r="H296" s="5">
        <v>1</v>
      </c>
      <c r="I296" s="6">
        <v>1620</v>
      </c>
      <c r="J296" s="7">
        <v>0</v>
      </c>
      <c r="K296" s="6">
        <v>1620</v>
      </c>
      <c r="L296" s="6">
        <v>921.49</v>
      </c>
      <c r="M296" s="5">
        <v>698.51</v>
      </c>
      <c r="N296" s="5" t="s">
        <v>66</v>
      </c>
      <c r="O296" s="2"/>
      <c r="P296" s="2"/>
    </row>
    <row r="297" spans="1:16">
      <c r="A297" s="5" t="s">
        <v>579</v>
      </c>
      <c r="B297" s="8">
        <v>46021</v>
      </c>
      <c r="C297" s="14">
        <f t="shared" si="4"/>
        <v>45992</v>
      </c>
      <c r="D297" s="5" t="s">
        <v>529</v>
      </c>
      <c r="E297" s="5" t="s">
        <v>83</v>
      </c>
      <c r="F297" s="5" t="s">
        <v>4</v>
      </c>
      <c r="G297" s="5" t="s">
        <v>10</v>
      </c>
      <c r="H297" s="5">
        <v>3</v>
      </c>
      <c r="I297" s="6">
        <v>1580</v>
      </c>
      <c r="J297" s="7">
        <v>0.1</v>
      </c>
      <c r="K297" s="6">
        <v>4266</v>
      </c>
      <c r="L297" s="6">
        <v>2748.56</v>
      </c>
      <c r="M297" s="5">
        <v>1517.44</v>
      </c>
      <c r="N297" s="5" t="s">
        <v>62</v>
      </c>
      <c r="O297" s="2"/>
      <c r="P297" s="2"/>
    </row>
    <row r="298" spans="1:16">
      <c r="A298" s="5" t="s">
        <v>580</v>
      </c>
      <c r="B298" s="8">
        <v>46024</v>
      </c>
      <c r="C298" s="14">
        <f t="shared" si="4"/>
        <v>46023</v>
      </c>
      <c r="D298" s="5" t="s">
        <v>581</v>
      </c>
      <c r="E298" s="5" t="s">
        <v>15</v>
      </c>
      <c r="F298" s="5" t="s">
        <v>5</v>
      </c>
      <c r="G298" s="5" t="s">
        <v>10</v>
      </c>
      <c r="H298" s="5">
        <v>2</v>
      </c>
      <c r="I298" s="6">
        <v>3370</v>
      </c>
      <c r="J298" s="7">
        <v>0.05</v>
      </c>
      <c r="K298" s="6">
        <v>6403</v>
      </c>
      <c r="L298" s="6">
        <v>4459.29</v>
      </c>
      <c r="M298" s="5">
        <v>1943.71</v>
      </c>
      <c r="N298" s="5" t="s">
        <v>66</v>
      </c>
      <c r="O298" s="2"/>
      <c r="P298" s="2"/>
    </row>
    <row r="299" spans="1:16">
      <c r="A299" s="5" t="s">
        <v>582</v>
      </c>
      <c r="B299" s="8">
        <v>46025</v>
      </c>
      <c r="C299" s="14">
        <f t="shared" si="4"/>
        <v>46023</v>
      </c>
      <c r="D299" s="5" t="s">
        <v>466</v>
      </c>
      <c r="E299" s="5" t="s">
        <v>17</v>
      </c>
      <c r="F299" s="5" t="s">
        <v>4</v>
      </c>
      <c r="G299" s="5" t="s">
        <v>10</v>
      </c>
      <c r="H299" s="5">
        <v>1</v>
      </c>
      <c r="I299" s="6">
        <v>2900</v>
      </c>
      <c r="J299" s="7">
        <v>0</v>
      </c>
      <c r="K299" s="6">
        <v>2900</v>
      </c>
      <c r="L299" s="6">
        <v>1898.93</v>
      </c>
      <c r="M299" s="5">
        <v>1001.07</v>
      </c>
      <c r="N299" s="5" t="s">
        <v>62</v>
      </c>
      <c r="O299" s="2"/>
      <c r="P299" s="2"/>
    </row>
    <row r="300" spans="1:16">
      <c r="A300" s="5" t="s">
        <v>583</v>
      </c>
      <c r="B300" s="8">
        <v>46025</v>
      </c>
      <c r="C300" s="14">
        <f t="shared" si="4"/>
        <v>46023</v>
      </c>
      <c r="D300" s="5" t="s">
        <v>151</v>
      </c>
      <c r="E300" s="5" t="s">
        <v>15</v>
      </c>
      <c r="F300" s="5" t="s">
        <v>5</v>
      </c>
      <c r="G300" s="5" t="s">
        <v>9</v>
      </c>
      <c r="H300" s="5">
        <v>2</v>
      </c>
      <c r="I300" s="6">
        <v>3550</v>
      </c>
      <c r="J300" s="7">
        <v>0</v>
      </c>
      <c r="K300" s="6">
        <v>7100</v>
      </c>
      <c r="L300" s="6">
        <v>4431.8100000000004</v>
      </c>
      <c r="M300" s="5">
        <v>2668.19</v>
      </c>
      <c r="N300" s="5" t="s">
        <v>62</v>
      </c>
      <c r="O300" s="2"/>
      <c r="P300" s="2"/>
    </row>
    <row r="301" spans="1:16">
      <c r="A301" s="5" t="s">
        <v>584</v>
      </c>
      <c r="B301" s="8">
        <v>46026</v>
      </c>
      <c r="C301" s="14">
        <f t="shared" si="4"/>
        <v>46023</v>
      </c>
      <c r="D301" s="5" t="s">
        <v>139</v>
      </c>
      <c r="E301" s="5" t="s">
        <v>15</v>
      </c>
      <c r="F301" s="5" t="s">
        <v>5</v>
      </c>
      <c r="G301" s="5" t="s">
        <v>10</v>
      </c>
      <c r="H301" s="5">
        <v>1</v>
      </c>
      <c r="I301" s="6">
        <v>3540</v>
      </c>
      <c r="J301" s="7">
        <v>0.2</v>
      </c>
      <c r="K301" s="6">
        <v>2832</v>
      </c>
      <c r="L301" s="6">
        <v>2176.84</v>
      </c>
      <c r="M301" s="5">
        <v>655.16</v>
      </c>
      <c r="N301" s="5" t="s">
        <v>64</v>
      </c>
      <c r="O301" s="2"/>
      <c r="P301" s="2"/>
    </row>
    <row r="302" spans="1:16">
      <c r="A302" s="5" t="s">
        <v>585</v>
      </c>
      <c r="B302" s="8">
        <v>46026</v>
      </c>
      <c r="C302" s="14">
        <f t="shared" si="4"/>
        <v>46023</v>
      </c>
      <c r="D302" s="5" t="s">
        <v>586</v>
      </c>
      <c r="E302" s="5" t="s">
        <v>125</v>
      </c>
      <c r="F302" s="5" t="s">
        <v>5</v>
      </c>
      <c r="G302" s="5" t="s">
        <v>9</v>
      </c>
      <c r="H302" s="5">
        <v>3</v>
      </c>
      <c r="I302" s="6">
        <v>1830</v>
      </c>
      <c r="J302" s="7">
        <v>0.1</v>
      </c>
      <c r="K302" s="6">
        <v>4941</v>
      </c>
      <c r="L302" s="6">
        <v>3124.45</v>
      </c>
      <c r="M302" s="5">
        <v>1816.55</v>
      </c>
      <c r="N302" s="5" t="s">
        <v>62</v>
      </c>
      <c r="O302" s="2"/>
      <c r="P302" s="2"/>
    </row>
    <row r="303" spans="1:16">
      <c r="A303" s="5" t="s">
        <v>587</v>
      </c>
      <c r="B303" s="8">
        <v>46026</v>
      </c>
      <c r="C303" s="14">
        <f t="shared" si="4"/>
        <v>46023</v>
      </c>
      <c r="D303" s="5" t="s">
        <v>588</v>
      </c>
      <c r="E303" s="5" t="s">
        <v>125</v>
      </c>
      <c r="F303" s="5" t="s">
        <v>5</v>
      </c>
      <c r="G303" s="5" t="s">
        <v>10</v>
      </c>
      <c r="H303" s="5">
        <v>1</v>
      </c>
      <c r="I303" s="6">
        <v>1800</v>
      </c>
      <c r="J303" s="7">
        <v>0</v>
      </c>
      <c r="K303" s="6">
        <v>1800</v>
      </c>
      <c r="L303" s="6">
        <v>1033.99</v>
      </c>
      <c r="M303" s="5">
        <v>766.01</v>
      </c>
      <c r="N303" s="5" t="s">
        <v>66</v>
      </c>
      <c r="O303" s="2"/>
      <c r="P303" s="2"/>
    </row>
    <row r="304" spans="1:16">
      <c r="A304" s="5" t="s">
        <v>589</v>
      </c>
      <c r="B304" s="8">
        <v>46027</v>
      </c>
      <c r="C304" s="14">
        <f t="shared" si="4"/>
        <v>46023</v>
      </c>
      <c r="D304" s="5" t="s">
        <v>590</v>
      </c>
      <c r="E304" s="5" t="s">
        <v>83</v>
      </c>
      <c r="F304" s="5" t="s">
        <v>4</v>
      </c>
      <c r="G304" s="5" t="s">
        <v>9</v>
      </c>
      <c r="H304" s="5">
        <v>4</v>
      </c>
      <c r="I304" s="6">
        <v>1640</v>
      </c>
      <c r="J304" s="7">
        <v>0</v>
      </c>
      <c r="K304" s="6">
        <v>6560</v>
      </c>
      <c r="L304" s="6">
        <v>3678.05</v>
      </c>
      <c r="M304" s="5">
        <v>2881.95</v>
      </c>
      <c r="N304" s="5" t="s">
        <v>66</v>
      </c>
      <c r="O304" s="2"/>
      <c r="P304" s="2"/>
    </row>
    <row r="305" spans="1:16">
      <c r="A305" s="5" t="s">
        <v>591</v>
      </c>
      <c r="B305" s="8">
        <v>46031</v>
      </c>
      <c r="C305" s="14">
        <f t="shared" si="4"/>
        <v>46023</v>
      </c>
      <c r="D305" s="5" t="s">
        <v>592</v>
      </c>
      <c r="E305" s="5" t="s">
        <v>17</v>
      </c>
      <c r="F305" s="5" t="s">
        <v>4</v>
      </c>
      <c r="G305" s="5" t="s">
        <v>9</v>
      </c>
      <c r="H305" s="5">
        <v>4</v>
      </c>
      <c r="I305" s="6">
        <v>3050</v>
      </c>
      <c r="J305" s="7">
        <v>0.1</v>
      </c>
      <c r="K305" s="6">
        <v>10980</v>
      </c>
      <c r="L305" s="6">
        <v>7200.91</v>
      </c>
      <c r="M305" s="5">
        <v>3779.09</v>
      </c>
      <c r="N305" s="5" t="s">
        <v>65</v>
      </c>
      <c r="O305" s="2"/>
      <c r="P305" s="2"/>
    </row>
    <row r="306" spans="1:16">
      <c r="A306" s="5" t="s">
        <v>593</v>
      </c>
      <c r="B306" s="8">
        <v>46031</v>
      </c>
      <c r="C306" s="14">
        <f t="shared" si="4"/>
        <v>46023</v>
      </c>
      <c r="D306" s="5" t="s">
        <v>234</v>
      </c>
      <c r="E306" s="5" t="s">
        <v>17</v>
      </c>
      <c r="F306" s="5" t="s">
        <v>4</v>
      </c>
      <c r="G306" s="5" t="s">
        <v>10</v>
      </c>
      <c r="H306" s="5">
        <v>1</v>
      </c>
      <c r="I306" s="6">
        <v>3080</v>
      </c>
      <c r="J306" s="7">
        <v>0.1</v>
      </c>
      <c r="K306" s="6">
        <v>2772</v>
      </c>
      <c r="L306" s="6">
        <v>1799.49</v>
      </c>
      <c r="M306" s="5">
        <v>972.51</v>
      </c>
      <c r="N306" s="5" t="s">
        <v>66</v>
      </c>
      <c r="O306" s="2"/>
      <c r="P306" s="2"/>
    </row>
    <row r="307" spans="1:16">
      <c r="A307" s="5" t="s">
        <v>594</v>
      </c>
      <c r="B307" s="8">
        <v>46032</v>
      </c>
      <c r="C307" s="14">
        <f t="shared" si="4"/>
        <v>46023</v>
      </c>
      <c r="D307" s="5" t="s">
        <v>595</v>
      </c>
      <c r="E307" s="5" t="s">
        <v>221</v>
      </c>
      <c r="F307" s="5" t="s">
        <v>2</v>
      </c>
      <c r="G307" s="5" t="s">
        <v>10</v>
      </c>
      <c r="H307" s="5">
        <v>3</v>
      </c>
      <c r="I307" s="6">
        <v>1860</v>
      </c>
      <c r="J307" s="7">
        <v>0</v>
      </c>
      <c r="K307" s="6">
        <v>5580</v>
      </c>
      <c r="L307" s="6">
        <v>3237.57</v>
      </c>
      <c r="M307" s="5">
        <v>2342.4299999999998</v>
      </c>
      <c r="N307" s="5" t="s">
        <v>66</v>
      </c>
      <c r="O307" s="2"/>
      <c r="P307" s="2"/>
    </row>
    <row r="308" spans="1:16">
      <c r="A308" s="5" t="s">
        <v>596</v>
      </c>
      <c r="B308" s="8">
        <v>46032</v>
      </c>
      <c r="C308" s="14">
        <f t="shared" si="4"/>
        <v>46023</v>
      </c>
      <c r="D308" s="5" t="s">
        <v>464</v>
      </c>
      <c r="E308" s="5" t="s">
        <v>100</v>
      </c>
      <c r="F308" s="5" t="s">
        <v>4</v>
      </c>
      <c r="G308" s="5" t="s">
        <v>8</v>
      </c>
      <c r="H308" s="5">
        <v>2</v>
      </c>
      <c r="I308" s="6">
        <v>1500</v>
      </c>
      <c r="J308" s="7">
        <v>0.05</v>
      </c>
      <c r="K308" s="6">
        <v>2850</v>
      </c>
      <c r="L308" s="6">
        <v>1716.52</v>
      </c>
      <c r="M308" s="5">
        <v>1133.48</v>
      </c>
      <c r="N308" s="5" t="s">
        <v>63</v>
      </c>
      <c r="O308" s="2"/>
      <c r="P308" s="2"/>
    </row>
    <row r="309" spans="1:16">
      <c r="A309" s="5" t="s">
        <v>597</v>
      </c>
      <c r="B309" s="8">
        <v>46033</v>
      </c>
      <c r="C309" s="14">
        <f t="shared" si="4"/>
        <v>46023</v>
      </c>
      <c r="D309" s="5" t="s">
        <v>360</v>
      </c>
      <c r="E309" s="5" t="s">
        <v>342</v>
      </c>
      <c r="F309" s="5" t="s">
        <v>2</v>
      </c>
      <c r="G309" s="5" t="s">
        <v>10</v>
      </c>
      <c r="H309" s="5">
        <v>1</v>
      </c>
      <c r="I309" s="6">
        <v>2900</v>
      </c>
      <c r="J309" s="7">
        <v>0.25</v>
      </c>
      <c r="K309" s="6">
        <v>2175</v>
      </c>
      <c r="L309" s="6">
        <v>1639.62</v>
      </c>
      <c r="M309" s="5">
        <v>535.38</v>
      </c>
      <c r="N309" s="5" t="s">
        <v>66</v>
      </c>
      <c r="O309" s="2"/>
      <c r="P309" s="2"/>
    </row>
    <row r="310" spans="1:16">
      <c r="A310" s="5" t="s">
        <v>598</v>
      </c>
      <c r="B310" s="8">
        <v>46034</v>
      </c>
      <c r="C310" s="14">
        <f t="shared" si="4"/>
        <v>46023</v>
      </c>
      <c r="D310" s="5" t="s">
        <v>599</v>
      </c>
      <c r="E310" s="5" t="s">
        <v>17</v>
      </c>
      <c r="F310" s="5" t="s">
        <v>4</v>
      </c>
      <c r="G310" s="5" t="s">
        <v>9</v>
      </c>
      <c r="H310" s="5">
        <v>3</v>
      </c>
      <c r="I310" s="6">
        <v>3000</v>
      </c>
      <c r="J310" s="7">
        <v>0.1</v>
      </c>
      <c r="K310" s="6">
        <v>8100</v>
      </c>
      <c r="L310" s="6">
        <v>5425.03</v>
      </c>
      <c r="M310" s="5">
        <v>2674.97</v>
      </c>
      <c r="N310" s="5" t="s">
        <v>64</v>
      </c>
      <c r="O310" s="2"/>
      <c r="P310" s="2"/>
    </row>
    <row r="311" spans="1:16">
      <c r="A311" s="5" t="s">
        <v>600</v>
      </c>
      <c r="B311" s="8">
        <v>46034</v>
      </c>
      <c r="C311" s="14">
        <f t="shared" si="4"/>
        <v>46023</v>
      </c>
      <c r="D311" s="5" t="s">
        <v>511</v>
      </c>
      <c r="E311" s="5" t="s">
        <v>18</v>
      </c>
      <c r="F311" s="5" t="s">
        <v>3</v>
      </c>
      <c r="G311" s="5" t="s">
        <v>10</v>
      </c>
      <c r="H311" s="5">
        <v>2</v>
      </c>
      <c r="I311" s="6">
        <v>2500</v>
      </c>
      <c r="J311" s="7">
        <v>0.15</v>
      </c>
      <c r="K311" s="6">
        <v>4250</v>
      </c>
      <c r="L311" s="6">
        <v>3161.2</v>
      </c>
      <c r="M311" s="5">
        <v>1088.8</v>
      </c>
      <c r="N311" s="5" t="s">
        <v>66</v>
      </c>
      <c r="O311" s="2"/>
      <c r="P311" s="2"/>
    </row>
    <row r="312" spans="1:16">
      <c r="A312" s="5" t="s">
        <v>601</v>
      </c>
      <c r="B312" s="8">
        <v>46035</v>
      </c>
      <c r="C312" s="14">
        <f t="shared" si="4"/>
        <v>46023</v>
      </c>
      <c r="D312" s="5" t="s">
        <v>602</v>
      </c>
      <c r="E312" s="5" t="s">
        <v>17</v>
      </c>
      <c r="F312" s="5" t="s">
        <v>4</v>
      </c>
      <c r="G312" s="5" t="s">
        <v>9</v>
      </c>
      <c r="H312" s="5">
        <v>1</v>
      </c>
      <c r="I312" s="6">
        <v>2940</v>
      </c>
      <c r="J312" s="7">
        <v>0.05</v>
      </c>
      <c r="K312" s="6">
        <v>2793</v>
      </c>
      <c r="L312" s="6">
        <v>1875.77</v>
      </c>
      <c r="M312" s="5">
        <v>917.23</v>
      </c>
      <c r="N312" s="5" t="s">
        <v>66</v>
      </c>
      <c r="O312" s="2"/>
      <c r="P312" s="2"/>
    </row>
    <row r="313" spans="1:16">
      <c r="A313" s="5" t="s">
        <v>603</v>
      </c>
      <c r="B313" s="8">
        <v>46035</v>
      </c>
      <c r="C313" s="14">
        <f t="shared" si="4"/>
        <v>46023</v>
      </c>
      <c r="D313" s="5" t="s">
        <v>588</v>
      </c>
      <c r="E313" s="5" t="s">
        <v>149</v>
      </c>
      <c r="F313" s="5" t="s">
        <v>2</v>
      </c>
      <c r="G313" s="5" t="s">
        <v>10</v>
      </c>
      <c r="H313" s="5">
        <v>3</v>
      </c>
      <c r="I313" s="6">
        <v>2350</v>
      </c>
      <c r="J313" s="7">
        <v>0</v>
      </c>
      <c r="K313" s="6">
        <v>7050</v>
      </c>
      <c r="L313" s="6">
        <v>3975.27</v>
      </c>
      <c r="M313" s="5">
        <v>3074.73</v>
      </c>
      <c r="N313" s="5" t="s">
        <v>64</v>
      </c>
      <c r="O313" s="2"/>
      <c r="P313" s="2"/>
    </row>
    <row r="314" spans="1:16">
      <c r="A314" s="5" t="s">
        <v>604</v>
      </c>
      <c r="B314" s="8">
        <v>46035</v>
      </c>
      <c r="C314" s="14">
        <f t="shared" si="4"/>
        <v>46023</v>
      </c>
      <c r="D314" s="5" t="s">
        <v>414</v>
      </c>
      <c r="E314" s="5" t="s">
        <v>16</v>
      </c>
      <c r="F314" s="5" t="s">
        <v>3</v>
      </c>
      <c r="G314" s="5" t="s">
        <v>11</v>
      </c>
      <c r="H314" s="5">
        <v>3</v>
      </c>
      <c r="I314" s="6">
        <v>3990</v>
      </c>
      <c r="J314" s="7">
        <v>0</v>
      </c>
      <c r="K314" s="6">
        <v>11970</v>
      </c>
      <c r="L314" s="6">
        <v>7327.62</v>
      </c>
      <c r="M314" s="5">
        <v>4642.38</v>
      </c>
      <c r="N314" s="5" t="s">
        <v>62</v>
      </c>
      <c r="O314" s="2"/>
      <c r="P314" s="2"/>
    </row>
    <row r="315" spans="1:16">
      <c r="A315" s="5" t="s">
        <v>605</v>
      </c>
      <c r="B315" s="8">
        <v>46037</v>
      </c>
      <c r="C315" s="14">
        <f t="shared" si="4"/>
        <v>46023</v>
      </c>
      <c r="D315" s="5" t="s">
        <v>353</v>
      </c>
      <c r="E315" s="5" t="s">
        <v>83</v>
      </c>
      <c r="F315" s="5" t="s">
        <v>4</v>
      </c>
      <c r="G315" s="5" t="s">
        <v>10</v>
      </c>
      <c r="H315" s="5">
        <v>3</v>
      </c>
      <c r="I315" s="6">
        <v>1640</v>
      </c>
      <c r="J315" s="7">
        <v>0.1</v>
      </c>
      <c r="K315" s="6">
        <v>4428</v>
      </c>
      <c r="L315" s="6">
        <v>2724.54</v>
      </c>
      <c r="M315" s="5">
        <v>1703.46</v>
      </c>
      <c r="N315" s="5" t="s">
        <v>62</v>
      </c>
      <c r="O315" s="2"/>
      <c r="P315" s="2"/>
    </row>
    <row r="316" spans="1:16">
      <c r="A316" s="5" t="s">
        <v>606</v>
      </c>
      <c r="B316" s="8">
        <v>46037</v>
      </c>
      <c r="C316" s="14">
        <f t="shared" si="4"/>
        <v>46023</v>
      </c>
      <c r="D316" s="5" t="s">
        <v>607</v>
      </c>
      <c r="E316" s="5" t="s">
        <v>15</v>
      </c>
      <c r="F316" s="5" t="s">
        <v>5</v>
      </c>
      <c r="G316" s="5" t="s">
        <v>9</v>
      </c>
      <c r="H316" s="5">
        <v>1</v>
      </c>
      <c r="I316" s="6">
        <v>3440</v>
      </c>
      <c r="J316" s="7">
        <v>0.1</v>
      </c>
      <c r="K316" s="6">
        <v>3096</v>
      </c>
      <c r="L316" s="6">
        <v>2164.67</v>
      </c>
      <c r="M316" s="5">
        <v>931.33</v>
      </c>
      <c r="N316" s="5" t="s">
        <v>66</v>
      </c>
      <c r="O316" s="2"/>
      <c r="P316" s="2"/>
    </row>
    <row r="317" spans="1:16">
      <c r="A317" s="5" t="s">
        <v>608</v>
      </c>
      <c r="B317" s="8">
        <v>46037</v>
      </c>
      <c r="C317" s="14">
        <f t="shared" si="4"/>
        <v>46023</v>
      </c>
      <c r="D317" s="5" t="s">
        <v>129</v>
      </c>
      <c r="E317" s="5" t="s">
        <v>16</v>
      </c>
      <c r="F317" s="5" t="s">
        <v>3</v>
      </c>
      <c r="G317" s="5" t="s">
        <v>8</v>
      </c>
      <c r="H317" s="5">
        <v>2</v>
      </c>
      <c r="I317" s="6">
        <v>3990</v>
      </c>
      <c r="J317" s="7">
        <v>0.15</v>
      </c>
      <c r="K317" s="6">
        <v>6783</v>
      </c>
      <c r="L317" s="6">
        <v>5112.25</v>
      </c>
      <c r="M317" s="5">
        <v>1670.75</v>
      </c>
      <c r="N317" s="5" t="s">
        <v>64</v>
      </c>
      <c r="O317" s="2"/>
      <c r="P317" s="2"/>
    </row>
    <row r="318" spans="1:16">
      <c r="A318" s="5" t="s">
        <v>609</v>
      </c>
      <c r="B318" s="8">
        <v>46038</v>
      </c>
      <c r="C318" s="14">
        <f t="shared" si="4"/>
        <v>46023</v>
      </c>
      <c r="D318" s="5" t="s">
        <v>236</v>
      </c>
      <c r="E318" s="5" t="s">
        <v>121</v>
      </c>
      <c r="F318" s="5" t="s">
        <v>3</v>
      </c>
      <c r="G318" s="5" t="s">
        <v>11</v>
      </c>
      <c r="H318" s="5">
        <v>1</v>
      </c>
      <c r="I318" s="6">
        <v>1260</v>
      </c>
      <c r="J318" s="7">
        <v>0.1</v>
      </c>
      <c r="K318" s="6">
        <v>1134</v>
      </c>
      <c r="L318" s="6">
        <v>755.03</v>
      </c>
      <c r="M318" s="5">
        <v>378.97</v>
      </c>
      <c r="N318" s="5" t="s">
        <v>63</v>
      </c>
      <c r="O318" s="2"/>
      <c r="P318" s="2"/>
    </row>
    <row r="319" spans="1:16">
      <c r="A319" s="5" t="s">
        <v>610</v>
      </c>
      <c r="B319" s="8">
        <v>46038</v>
      </c>
      <c r="C319" s="14">
        <f t="shared" si="4"/>
        <v>46023</v>
      </c>
      <c r="D319" s="5" t="s">
        <v>218</v>
      </c>
      <c r="E319" s="5" t="s">
        <v>17</v>
      </c>
      <c r="F319" s="5" t="s">
        <v>4</v>
      </c>
      <c r="G319" s="5" t="s">
        <v>11</v>
      </c>
      <c r="H319" s="5">
        <v>1</v>
      </c>
      <c r="I319" s="6">
        <v>2980</v>
      </c>
      <c r="J319" s="7">
        <v>0.05</v>
      </c>
      <c r="K319" s="6">
        <v>2831</v>
      </c>
      <c r="L319" s="6">
        <v>1869.52</v>
      </c>
      <c r="M319" s="5">
        <v>961.48</v>
      </c>
      <c r="N319" s="5" t="s">
        <v>66</v>
      </c>
      <c r="O319" s="2"/>
      <c r="P319" s="2"/>
    </row>
    <row r="320" spans="1:16">
      <c r="A320" s="5" t="s">
        <v>611</v>
      </c>
      <c r="B320" s="8">
        <v>46038</v>
      </c>
      <c r="C320" s="14">
        <f t="shared" si="4"/>
        <v>46023</v>
      </c>
      <c r="D320" s="5" t="s">
        <v>612</v>
      </c>
      <c r="E320" s="5" t="s">
        <v>100</v>
      </c>
      <c r="F320" s="5" t="s">
        <v>4</v>
      </c>
      <c r="G320" s="5" t="s">
        <v>9</v>
      </c>
      <c r="H320" s="5">
        <v>2</v>
      </c>
      <c r="I320" s="6">
        <v>1530</v>
      </c>
      <c r="J320" s="7">
        <v>0.1</v>
      </c>
      <c r="K320" s="6">
        <v>2754</v>
      </c>
      <c r="L320" s="6">
        <v>1744.14</v>
      </c>
      <c r="M320" s="5">
        <v>1009.86</v>
      </c>
      <c r="N320" s="5" t="s">
        <v>66</v>
      </c>
      <c r="O320" s="2"/>
      <c r="P320" s="2"/>
    </row>
    <row r="321" spans="1:16">
      <c r="A321" s="5" t="s">
        <v>613</v>
      </c>
      <c r="B321" s="8">
        <v>46039</v>
      </c>
      <c r="C321" s="14">
        <f t="shared" si="4"/>
        <v>46023</v>
      </c>
      <c r="D321" s="5" t="s">
        <v>614</v>
      </c>
      <c r="E321" s="5" t="s">
        <v>130</v>
      </c>
      <c r="F321" s="5" t="s">
        <v>5</v>
      </c>
      <c r="G321" s="5" t="s">
        <v>10</v>
      </c>
      <c r="H321" s="5">
        <v>1</v>
      </c>
      <c r="I321" s="6">
        <v>3010</v>
      </c>
      <c r="J321" s="7">
        <v>0.15</v>
      </c>
      <c r="K321" s="6">
        <v>2558.5</v>
      </c>
      <c r="L321" s="6">
        <v>1994.44</v>
      </c>
      <c r="M321" s="5">
        <v>564.05999999999995</v>
      </c>
      <c r="N321" s="5" t="s">
        <v>62</v>
      </c>
      <c r="O321" s="2"/>
      <c r="P321" s="2"/>
    </row>
    <row r="322" spans="1:16">
      <c r="A322" s="5" t="s">
        <v>615</v>
      </c>
      <c r="B322" s="8">
        <v>46041</v>
      </c>
      <c r="C322" s="14">
        <f t="shared" ref="C322:C385" si="5">DATE(YEAR(B322),MONTH(B322),1)</f>
        <v>46023</v>
      </c>
      <c r="D322" s="5" t="s">
        <v>616</v>
      </c>
      <c r="E322" s="5" t="s">
        <v>90</v>
      </c>
      <c r="F322" s="5" t="s">
        <v>3</v>
      </c>
      <c r="G322" s="5" t="s">
        <v>9</v>
      </c>
      <c r="H322" s="5">
        <v>2</v>
      </c>
      <c r="I322" s="6">
        <v>2040</v>
      </c>
      <c r="J322" s="7">
        <v>0.25</v>
      </c>
      <c r="K322" s="6">
        <v>3060</v>
      </c>
      <c r="L322" s="6">
        <v>2390.5500000000002</v>
      </c>
      <c r="M322" s="5">
        <v>669.45</v>
      </c>
      <c r="N322" s="5" t="s">
        <v>63</v>
      </c>
      <c r="O322" s="2"/>
      <c r="P322" s="2"/>
    </row>
    <row r="323" spans="1:16">
      <c r="A323" s="5" t="s">
        <v>617</v>
      </c>
      <c r="B323" s="8">
        <v>46042</v>
      </c>
      <c r="C323" s="14">
        <f t="shared" si="5"/>
        <v>46023</v>
      </c>
      <c r="D323" s="5" t="s">
        <v>618</v>
      </c>
      <c r="E323" s="5" t="s">
        <v>15</v>
      </c>
      <c r="F323" s="5" t="s">
        <v>5</v>
      </c>
      <c r="G323" s="5" t="s">
        <v>11</v>
      </c>
      <c r="H323" s="5">
        <v>1</v>
      </c>
      <c r="I323" s="6">
        <v>3540</v>
      </c>
      <c r="J323" s="7">
        <v>0</v>
      </c>
      <c r="K323" s="6">
        <v>3540</v>
      </c>
      <c r="L323" s="6">
        <v>2202</v>
      </c>
      <c r="M323" s="5">
        <v>1338</v>
      </c>
      <c r="N323" s="5" t="s">
        <v>63</v>
      </c>
      <c r="O323" s="2"/>
      <c r="P323" s="2"/>
    </row>
    <row r="324" spans="1:16">
      <c r="A324" s="5" t="s">
        <v>619</v>
      </c>
      <c r="B324" s="8">
        <v>46042</v>
      </c>
      <c r="C324" s="14">
        <f t="shared" si="5"/>
        <v>46023</v>
      </c>
      <c r="D324" s="5" t="s">
        <v>260</v>
      </c>
      <c r="E324" s="5" t="s">
        <v>95</v>
      </c>
      <c r="F324" s="5" t="s">
        <v>4</v>
      </c>
      <c r="G324" s="5" t="s">
        <v>11</v>
      </c>
      <c r="H324" s="5">
        <v>2</v>
      </c>
      <c r="I324" s="6">
        <v>2000</v>
      </c>
      <c r="J324" s="7">
        <v>0.1</v>
      </c>
      <c r="K324" s="6">
        <v>3600</v>
      </c>
      <c r="L324" s="6">
        <v>2286.4499999999998</v>
      </c>
      <c r="M324" s="5">
        <v>1313.55</v>
      </c>
      <c r="N324" s="5" t="s">
        <v>66</v>
      </c>
      <c r="O324" s="2"/>
      <c r="P324" s="2"/>
    </row>
    <row r="325" spans="1:16">
      <c r="A325" s="5" t="s">
        <v>620</v>
      </c>
      <c r="B325" s="8">
        <v>46043</v>
      </c>
      <c r="C325" s="14">
        <f t="shared" si="5"/>
        <v>46023</v>
      </c>
      <c r="D325" s="5" t="s">
        <v>264</v>
      </c>
      <c r="E325" s="5" t="s">
        <v>90</v>
      </c>
      <c r="F325" s="5" t="s">
        <v>3</v>
      </c>
      <c r="G325" s="5" t="s">
        <v>11</v>
      </c>
      <c r="H325" s="5">
        <v>2</v>
      </c>
      <c r="I325" s="6">
        <v>1930</v>
      </c>
      <c r="J325" s="7">
        <v>0.05</v>
      </c>
      <c r="K325" s="6">
        <v>3667</v>
      </c>
      <c r="L325" s="6">
        <v>2428.25</v>
      </c>
      <c r="M325" s="5">
        <v>1238.75</v>
      </c>
      <c r="N325" s="5" t="s">
        <v>62</v>
      </c>
      <c r="O325" s="2"/>
      <c r="P325" s="2"/>
    </row>
    <row r="326" spans="1:16">
      <c r="A326" s="5" t="s">
        <v>621</v>
      </c>
      <c r="B326" s="8">
        <v>46045</v>
      </c>
      <c r="C326" s="14">
        <f t="shared" si="5"/>
        <v>46023</v>
      </c>
      <c r="D326" s="5" t="s">
        <v>327</v>
      </c>
      <c r="E326" s="5" t="s">
        <v>121</v>
      </c>
      <c r="F326" s="5" t="s">
        <v>3</v>
      </c>
      <c r="G326" s="5" t="s">
        <v>10</v>
      </c>
      <c r="H326" s="5">
        <v>2</v>
      </c>
      <c r="I326" s="6">
        <v>1350</v>
      </c>
      <c r="J326" s="7">
        <v>0.05</v>
      </c>
      <c r="K326" s="6">
        <v>2565</v>
      </c>
      <c r="L326" s="6">
        <v>1545.09</v>
      </c>
      <c r="M326" s="5">
        <v>1019.91</v>
      </c>
      <c r="N326" s="5" t="s">
        <v>63</v>
      </c>
      <c r="O326" s="2"/>
      <c r="P326" s="2"/>
    </row>
    <row r="327" spans="1:16">
      <c r="A327" s="5" t="s">
        <v>622</v>
      </c>
      <c r="B327" s="8">
        <v>46051</v>
      </c>
      <c r="C327" s="14">
        <f t="shared" si="5"/>
        <v>46023</v>
      </c>
      <c r="D327" s="5" t="s">
        <v>280</v>
      </c>
      <c r="E327" s="5" t="s">
        <v>100</v>
      </c>
      <c r="F327" s="5" t="s">
        <v>4</v>
      </c>
      <c r="G327" s="5" t="s">
        <v>9</v>
      </c>
      <c r="H327" s="5">
        <v>1</v>
      </c>
      <c r="I327" s="6">
        <v>1510</v>
      </c>
      <c r="J327" s="7">
        <v>0.1</v>
      </c>
      <c r="K327" s="6">
        <v>1359</v>
      </c>
      <c r="L327" s="6">
        <v>862.52</v>
      </c>
      <c r="M327" s="5">
        <v>496.48</v>
      </c>
      <c r="N327" s="5" t="s">
        <v>63</v>
      </c>
      <c r="O327" s="2"/>
      <c r="P327" s="2"/>
    </row>
    <row r="328" spans="1:16">
      <c r="A328" s="5" t="s">
        <v>623</v>
      </c>
      <c r="B328" s="8">
        <v>46052</v>
      </c>
      <c r="C328" s="14">
        <f t="shared" si="5"/>
        <v>46023</v>
      </c>
      <c r="D328" s="5" t="s">
        <v>624</v>
      </c>
      <c r="E328" s="5" t="s">
        <v>100</v>
      </c>
      <c r="F328" s="5" t="s">
        <v>4</v>
      </c>
      <c r="G328" s="5" t="s">
        <v>8</v>
      </c>
      <c r="H328" s="5">
        <v>2</v>
      </c>
      <c r="I328" s="6">
        <v>1490</v>
      </c>
      <c r="J328" s="7">
        <v>0.15</v>
      </c>
      <c r="K328" s="6">
        <v>2533</v>
      </c>
      <c r="L328" s="6">
        <v>1748.42</v>
      </c>
      <c r="M328" s="5">
        <v>784.58</v>
      </c>
      <c r="N328" s="5" t="s">
        <v>66</v>
      </c>
      <c r="O328" s="2"/>
      <c r="P328" s="2"/>
    </row>
    <row r="329" spans="1:16">
      <c r="A329" s="5" t="s">
        <v>625</v>
      </c>
      <c r="B329" s="8">
        <v>46053</v>
      </c>
      <c r="C329" s="14">
        <f t="shared" si="5"/>
        <v>46023</v>
      </c>
      <c r="D329" s="5" t="s">
        <v>626</v>
      </c>
      <c r="E329" s="5" t="s">
        <v>121</v>
      </c>
      <c r="F329" s="5" t="s">
        <v>3</v>
      </c>
      <c r="G329" s="5" t="s">
        <v>8</v>
      </c>
      <c r="H329" s="5">
        <v>1</v>
      </c>
      <c r="I329" s="6">
        <v>1320</v>
      </c>
      <c r="J329" s="7">
        <v>0.2</v>
      </c>
      <c r="K329" s="6">
        <v>1056</v>
      </c>
      <c r="L329" s="6">
        <v>759.2</v>
      </c>
      <c r="M329" s="5">
        <v>296.8</v>
      </c>
      <c r="N329" s="5" t="s">
        <v>62</v>
      </c>
      <c r="O329" s="2"/>
      <c r="P329" s="2"/>
    </row>
    <row r="330" spans="1:16">
      <c r="A330" s="5" t="s">
        <v>627</v>
      </c>
      <c r="B330" s="8">
        <v>46053</v>
      </c>
      <c r="C330" s="14">
        <f t="shared" si="5"/>
        <v>46023</v>
      </c>
      <c r="D330" s="5" t="s">
        <v>628</v>
      </c>
      <c r="E330" s="5" t="s">
        <v>130</v>
      </c>
      <c r="F330" s="5" t="s">
        <v>5</v>
      </c>
      <c r="G330" s="5" t="s">
        <v>10</v>
      </c>
      <c r="H330" s="5">
        <v>3</v>
      </c>
      <c r="I330" s="6">
        <v>3070</v>
      </c>
      <c r="J330" s="7">
        <v>0.15</v>
      </c>
      <c r="K330" s="6">
        <v>7828.5</v>
      </c>
      <c r="L330" s="6">
        <v>5706.51</v>
      </c>
      <c r="M330" s="5">
        <v>2121.9899999999998</v>
      </c>
      <c r="N330" s="5" t="s">
        <v>64</v>
      </c>
      <c r="O330" s="2"/>
      <c r="P330" s="2"/>
    </row>
    <row r="331" spans="1:16">
      <c r="A331" s="5" t="s">
        <v>629</v>
      </c>
      <c r="B331" s="8">
        <v>46053</v>
      </c>
      <c r="C331" s="14">
        <f t="shared" si="5"/>
        <v>46023</v>
      </c>
      <c r="D331" s="5" t="s">
        <v>574</v>
      </c>
      <c r="E331" s="5" t="s">
        <v>83</v>
      </c>
      <c r="F331" s="5" t="s">
        <v>4</v>
      </c>
      <c r="G331" s="5" t="s">
        <v>10</v>
      </c>
      <c r="H331" s="5">
        <v>2</v>
      </c>
      <c r="I331" s="6">
        <v>1550</v>
      </c>
      <c r="J331" s="7">
        <v>0.05</v>
      </c>
      <c r="K331" s="6">
        <v>2945</v>
      </c>
      <c r="L331" s="6">
        <v>1756.2</v>
      </c>
      <c r="M331" s="5">
        <v>1188.8</v>
      </c>
      <c r="N331" s="5" t="s">
        <v>64</v>
      </c>
      <c r="O331" s="2"/>
      <c r="P331" s="2"/>
    </row>
    <row r="332" spans="1:16">
      <c r="A332" s="5" t="s">
        <v>630</v>
      </c>
      <c r="B332" s="8">
        <v>46057</v>
      </c>
      <c r="C332" s="14">
        <f t="shared" si="5"/>
        <v>46054</v>
      </c>
      <c r="D332" s="5" t="s">
        <v>52</v>
      </c>
      <c r="E332" s="5" t="s">
        <v>125</v>
      </c>
      <c r="F332" s="5" t="s">
        <v>5</v>
      </c>
      <c r="G332" s="5" t="s">
        <v>10</v>
      </c>
      <c r="H332" s="5">
        <v>3</v>
      </c>
      <c r="I332" s="6">
        <v>1830</v>
      </c>
      <c r="J332" s="7">
        <v>0.15</v>
      </c>
      <c r="K332" s="6">
        <v>4666.5</v>
      </c>
      <c r="L332" s="6">
        <v>3147.05</v>
      </c>
      <c r="M332" s="5">
        <v>1519.45</v>
      </c>
      <c r="N332" s="5" t="s">
        <v>64</v>
      </c>
      <c r="O332" s="2"/>
      <c r="P332" s="2"/>
    </row>
    <row r="333" spans="1:16">
      <c r="A333" s="5" t="s">
        <v>631</v>
      </c>
      <c r="B333" s="8">
        <v>46058</v>
      </c>
      <c r="C333" s="14">
        <f t="shared" si="5"/>
        <v>46054</v>
      </c>
      <c r="D333" s="5" t="s">
        <v>632</v>
      </c>
      <c r="E333" s="5" t="s">
        <v>121</v>
      </c>
      <c r="F333" s="5" t="s">
        <v>3</v>
      </c>
      <c r="G333" s="5" t="s">
        <v>11</v>
      </c>
      <c r="H333" s="5">
        <v>2</v>
      </c>
      <c r="I333" s="6">
        <v>1300</v>
      </c>
      <c r="J333" s="7">
        <v>0.25</v>
      </c>
      <c r="K333" s="6">
        <v>1950</v>
      </c>
      <c r="L333" s="6">
        <v>1504.38</v>
      </c>
      <c r="M333" s="5">
        <v>445.62</v>
      </c>
      <c r="N333" s="5" t="s">
        <v>66</v>
      </c>
      <c r="O333" s="2"/>
      <c r="P333" s="2"/>
    </row>
    <row r="334" spans="1:16">
      <c r="A334" s="5" t="s">
        <v>633</v>
      </c>
      <c r="B334" s="8">
        <v>46058</v>
      </c>
      <c r="C334" s="14">
        <f t="shared" si="5"/>
        <v>46054</v>
      </c>
      <c r="D334" s="5" t="s">
        <v>293</v>
      </c>
      <c r="E334" s="5" t="s">
        <v>121</v>
      </c>
      <c r="F334" s="5" t="s">
        <v>3</v>
      </c>
      <c r="G334" s="5" t="s">
        <v>11</v>
      </c>
      <c r="H334" s="5">
        <v>2</v>
      </c>
      <c r="I334" s="6">
        <v>1340</v>
      </c>
      <c r="J334" s="7">
        <v>0</v>
      </c>
      <c r="K334" s="6">
        <v>2680</v>
      </c>
      <c r="L334" s="6">
        <v>1563.18</v>
      </c>
      <c r="M334" s="5">
        <v>1116.82</v>
      </c>
      <c r="N334" s="5" t="s">
        <v>66</v>
      </c>
      <c r="O334" s="2"/>
      <c r="P334" s="2"/>
    </row>
    <row r="335" spans="1:16">
      <c r="A335" s="5" t="s">
        <v>634</v>
      </c>
      <c r="B335" s="8">
        <v>46060</v>
      </c>
      <c r="C335" s="14">
        <f t="shared" si="5"/>
        <v>46054</v>
      </c>
      <c r="D335" s="5" t="s">
        <v>271</v>
      </c>
      <c r="E335" s="5" t="s">
        <v>121</v>
      </c>
      <c r="F335" s="5" t="s">
        <v>3</v>
      </c>
      <c r="G335" s="5" t="s">
        <v>9</v>
      </c>
      <c r="H335" s="5">
        <v>1</v>
      </c>
      <c r="I335" s="6">
        <v>1350</v>
      </c>
      <c r="J335" s="7">
        <v>0</v>
      </c>
      <c r="K335" s="6">
        <v>1350</v>
      </c>
      <c r="L335" s="6">
        <v>748.64</v>
      </c>
      <c r="M335" s="5">
        <v>601.36</v>
      </c>
      <c r="N335" s="5" t="s">
        <v>64</v>
      </c>
      <c r="O335" s="2"/>
      <c r="P335" s="2"/>
    </row>
    <row r="336" spans="1:16">
      <c r="A336" s="5" t="s">
        <v>635</v>
      </c>
      <c r="B336" s="8">
        <v>46063</v>
      </c>
      <c r="C336" s="14">
        <f t="shared" si="5"/>
        <v>46054</v>
      </c>
      <c r="D336" s="5" t="s">
        <v>636</v>
      </c>
      <c r="E336" s="5" t="s">
        <v>16</v>
      </c>
      <c r="F336" s="5" t="s">
        <v>3</v>
      </c>
      <c r="G336" s="5" t="s">
        <v>11</v>
      </c>
      <c r="H336" s="5">
        <v>2</v>
      </c>
      <c r="I336" s="6">
        <v>4090</v>
      </c>
      <c r="J336" s="7">
        <v>0.05</v>
      </c>
      <c r="K336" s="6">
        <v>7771</v>
      </c>
      <c r="L336" s="6">
        <v>4925.84</v>
      </c>
      <c r="M336" s="5">
        <v>2845.16</v>
      </c>
      <c r="N336" s="5" t="s">
        <v>63</v>
      </c>
      <c r="O336" s="2"/>
      <c r="P336" s="2"/>
    </row>
    <row r="337" spans="1:16">
      <c r="A337" s="5" t="s">
        <v>637</v>
      </c>
      <c r="B337" s="8">
        <v>46064</v>
      </c>
      <c r="C337" s="14">
        <f t="shared" si="5"/>
        <v>46054</v>
      </c>
      <c r="D337" s="5" t="s">
        <v>53</v>
      </c>
      <c r="E337" s="5" t="s">
        <v>78</v>
      </c>
      <c r="F337" s="5" t="s">
        <v>2</v>
      </c>
      <c r="G337" s="5" t="s">
        <v>8</v>
      </c>
      <c r="H337" s="5">
        <v>2</v>
      </c>
      <c r="I337" s="6">
        <v>3500</v>
      </c>
      <c r="J337" s="7">
        <v>0.1</v>
      </c>
      <c r="K337" s="6">
        <v>6300</v>
      </c>
      <c r="L337" s="6">
        <v>4148.9799999999996</v>
      </c>
      <c r="M337" s="5">
        <v>2151.02</v>
      </c>
      <c r="N337" s="5" t="s">
        <v>64</v>
      </c>
      <c r="O337" s="2"/>
      <c r="P337" s="2"/>
    </row>
    <row r="338" spans="1:16">
      <c r="A338" s="5" t="s">
        <v>638</v>
      </c>
      <c r="B338" s="8">
        <v>46064</v>
      </c>
      <c r="C338" s="14">
        <f t="shared" si="5"/>
        <v>46054</v>
      </c>
      <c r="D338" s="5" t="s">
        <v>148</v>
      </c>
      <c r="E338" s="5" t="s">
        <v>221</v>
      </c>
      <c r="F338" s="5" t="s">
        <v>2</v>
      </c>
      <c r="G338" s="5" t="s">
        <v>8</v>
      </c>
      <c r="H338" s="5">
        <v>1</v>
      </c>
      <c r="I338" s="6">
        <v>1890</v>
      </c>
      <c r="J338" s="7">
        <v>0.15</v>
      </c>
      <c r="K338" s="6">
        <v>1606.5</v>
      </c>
      <c r="L338" s="6">
        <v>1024.02</v>
      </c>
      <c r="M338" s="5">
        <v>582.48</v>
      </c>
      <c r="N338" s="5" t="s">
        <v>66</v>
      </c>
      <c r="O338" s="2"/>
      <c r="P338" s="2"/>
    </row>
    <row r="339" spans="1:16">
      <c r="A339" s="5" t="s">
        <v>639</v>
      </c>
      <c r="B339" s="8">
        <v>46065</v>
      </c>
      <c r="C339" s="14">
        <f t="shared" si="5"/>
        <v>46054</v>
      </c>
      <c r="D339" s="5" t="s">
        <v>562</v>
      </c>
      <c r="E339" s="5" t="s">
        <v>95</v>
      </c>
      <c r="F339" s="5" t="s">
        <v>4</v>
      </c>
      <c r="G339" s="5" t="s">
        <v>10</v>
      </c>
      <c r="H339" s="5">
        <v>2</v>
      </c>
      <c r="I339" s="6">
        <v>1990</v>
      </c>
      <c r="J339" s="7">
        <v>0.1</v>
      </c>
      <c r="K339" s="6">
        <v>3582</v>
      </c>
      <c r="L339" s="6">
        <v>2367.84</v>
      </c>
      <c r="M339" s="5">
        <v>1214.1600000000001</v>
      </c>
      <c r="N339" s="5" t="s">
        <v>66</v>
      </c>
      <c r="O339" s="2"/>
      <c r="P339" s="2"/>
    </row>
    <row r="340" spans="1:16">
      <c r="A340" s="5" t="s">
        <v>640</v>
      </c>
      <c r="B340" s="8">
        <v>46069</v>
      </c>
      <c r="C340" s="14">
        <f t="shared" si="5"/>
        <v>46054</v>
      </c>
      <c r="D340" s="5" t="s">
        <v>246</v>
      </c>
      <c r="E340" s="5" t="s">
        <v>15</v>
      </c>
      <c r="F340" s="5" t="s">
        <v>5</v>
      </c>
      <c r="G340" s="5" t="s">
        <v>9</v>
      </c>
      <c r="H340" s="5">
        <v>1</v>
      </c>
      <c r="I340" s="6">
        <v>3550</v>
      </c>
      <c r="J340" s="7">
        <v>0.2</v>
      </c>
      <c r="K340" s="6">
        <v>2840</v>
      </c>
      <c r="L340" s="6">
        <v>2142.9499999999998</v>
      </c>
      <c r="M340" s="5">
        <v>697.05</v>
      </c>
      <c r="N340" s="5" t="s">
        <v>62</v>
      </c>
      <c r="O340" s="2"/>
      <c r="P340" s="2"/>
    </row>
    <row r="341" spans="1:16">
      <c r="A341" s="5" t="s">
        <v>641</v>
      </c>
      <c r="B341" s="8">
        <v>46069</v>
      </c>
      <c r="C341" s="14">
        <f t="shared" si="5"/>
        <v>46054</v>
      </c>
      <c r="D341" s="5" t="s">
        <v>642</v>
      </c>
      <c r="E341" s="5" t="s">
        <v>125</v>
      </c>
      <c r="F341" s="5" t="s">
        <v>5</v>
      </c>
      <c r="G341" s="5" t="s">
        <v>9</v>
      </c>
      <c r="H341" s="5">
        <v>4</v>
      </c>
      <c r="I341" s="6">
        <v>1830</v>
      </c>
      <c r="J341" s="7">
        <v>0.05</v>
      </c>
      <c r="K341" s="6">
        <v>6954</v>
      </c>
      <c r="L341" s="6">
        <v>4209.78</v>
      </c>
      <c r="M341" s="5">
        <v>2744.22</v>
      </c>
      <c r="N341" s="5" t="s">
        <v>62</v>
      </c>
      <c r="O341" s="2"/>
      <c r="P341" s="2"/>
    </row>
    <row r="342" spans="1:16">
      <c r="A342" s="5" t="s">
        <v>643</v>
      </c>
      <c r="B342" s="8">
        <v>46070</v>
      </c>
      <c r="C342" s="14">
        <f t="shared" si="5"/>
        <v>46054</v>
      </c>
      <c r="D342" s="5" t="s">
        <v>513</v>
      </c>
      <c r="E342" s="5" t="s">
        <v>83</v>
      </c>
      <c r="F342" s="5" t="s">
        <v>4</v>
      </c>
      <c r="G342" s="5" t="s">
        <v>10</v>
      </c>
      <c r="H342" s="5">
        <v>4</v>
      </c>
      <c r="I342" s="6">
        <v>1540</v>
      </c>
      <c r="J342" s="7">
        <v>0.1</v>
      </c>
      <c r="K342" s="6">
        <v>5544</v>
      </c>
      <c r="L342" s="6">
        <v>3575.77</v>
      </c>
      <c r="M342" s="5">
        <v>1968.23</v>
      </c>
      <c r="N342" s="5" t="s">
        <v>62</v>
      </c>
      <c r="O342" s="2"/>
      <c r="P342" s="2"/>
    </row>
    <row r="343" spans="1:16">
      <c r="A343" s="5" t="s">
        <v>644</v>
      </c>
      <c r="B343" s="8">
        <v>46071</v>
      </c>
      <c r="C343" s="14">
        <f t="shared" si="5"/>
        <v>46054</v>
      </c>
      <c r="D343" s="5" t="s">
        <v>151</v>
      </c>
      <c r="E343" s="5" t="s">
        <v>15</v>
      </c>
      <c r="F343" s="5" t="s">
        <v>5</v>
      </c>
      <c r="G343" s="5" t="s">
        <v>10</v>
      </c>
      <c r="H343" s="5">
        <v>1</v>
      </c>
      <c r="I343" s="6">
        <v>3380</v>
      </c>
      <c r="J343" s="7">
        <v>0.2</v>
      </c>
      <c r="K343" s="6">
        <v>2704</v>
      </c>
      <c r="L343" s="6">
        <v>2135.25</v>
      </c>
      <c r="M343" s="5">
        <v>568.75</v>
      </c>
      <c r="N343" s="5" t="s">
        <v>66</v>
      </c>
      <c r="O343" s="2"/>
      <c r="P343" s="2"/>
    </row>
    <row r="344" spans="1:16">
      <c r="A344" s="5" t="s">
        <v>645</v>
      </c>
      <c r="B344" s="8">
        <v>46071</v>
      </c>
      <c r="C344" s="14">
        <f t="shared" si="5"/>
        <v>46054</v>
      </c>
      <c r="D344" s="5" t="s">
        <v>56</v>
      </c>
      <c r="E344" s="5" t="s">
        <v>83</v>
      </c>
      <c r="F344" s="5" t="s">
        <v>4</v>
      </c>
      <c r="G344" s="5" t="s">
        <v>8</v>
      </c>
      <c r="H344" s="5">
        <v>2</v>
      </c>
      <c r="I344" s="6">
        <v>1660</v>
      </c>
      <c r="J344" s="7">
        <v>0</v>
      </c>
      <c r="K344" s="6">
        <v>3320</v>
      </c>
      <c r="L344" s="6">
        <v>1818.52</v>
      </c>
      <c r="M344" s="5">
        <v>1501.48</v>
      </c>
      <c r="N344" s="5" t="s">
        <v>64</v>
      </c>
      <c r="O344" s="2"/>
      <c r="P344" s="2"/>
    </row>
    <row r="345" spans="1:16">
      <c r="A345" s="5" t="s">
        <v>646</v>
      </c>
      <c r="B345" s="8">
        <v>46071</v>
      </c>
      <c r="C345" s="14">
        <f t="shared" si="5"/>
        <v>46054</v>
      </c>
      <c r="D345" s="5" t="s">
        <v>358</v>
      </c>
      <c r="E345" s="5" t="s">
        <v>78</v>
      </c>
      <c r="F345" s="5" t="s">
        <v>2</v>
      </c>
      <c r="G345" s="5" t="s">
        <v>11</v>
      </c>
      <c r="H345" s="5">
        <v>1</v>
      </c>
      <c r="I345" s="6">
        <v>3410</v>
      </c>
      <c r="J345" s="7">
        <v>0.1</v>
      </c>
      <c r="K345" s="6">
        <v>3069</v>
      </c>
      <c r="L345" s="6">
        <v>2124.44</v>
      </c>
      <c r="M345" s="5">
        <v>944.56</v>
      </c>
      <c r="N345" s="5" t="s">
        <v>64</v>
      </c>
      <c r="O345" s="2"/>
      <c r="P345" s="2"/>
    </row>
    <row r="346" spans="1:16">
      <c r="A346" s="5" t="s">
        <v>647</v>
      </c>
      <c r="B346" s="8">
        <v>46072</v>
      </c>
      <c r="C346" s="14">
        <f t="shared" si="5"/>
        <v>46054</v>
      </c>
      <c r="D346" s="5" t="s">
        <v>592</v>
      </c>
      <c r="E346" s="5" t="s">
        <v>17</v>
      </c>
      <c r="F346" s="5" t="s">
        <v>4</v>
      </c>
      <c r="G346" s="5" t="s">
        <v>10</v>
      </c>
      <c r="H346" s="5">
        <v>1</v>
      </c>
      <c r="I346" s="6">
        <v>3040</v>
      </c>
      <c r="J346" s="7">
        <v>0.2</v>
      </c>
      <c r="K346" s="6">
        <v>2432</v>
      </c>
      <c r="L346" s="6">
        <v>1853.5</v>
      </c>
      <c r="M346" s="5">
        <v>578.5</v>
      </c>
      <c r="N346" s="5" t="s">
        <v>62</v>
      </c>
      <c r="O346" s="2"/>
      <c r="P346" s="2"/>
    </row>
    <row r="347" spans="1:16">
      <c r="A347" s="5" t="s">
        <v>648</v>
      </c>
      <c r="B347" s="8">
        <v>46073</v>
      </c>
      <c r="C347" s="14">
        <f t="shared" si="5"/>
        <v>46054</v>
      </c>
      <c r="D347" s="5" t="s">
        <v>602</v>
      </c>
      <c r="E347" s="5" t="s">
        <v>121</v>
      </c>
      <c r="F347" s="5" t="s">
        <v>3</v>
      </c>
      <c r="G347" s="5" t="s">
        <v>11</v>
      </c>
      <c r="H347" s="5">
        <v>1</v>
      </c>
      <c r="I347" s="6">
        <v>1330</v>
      </c>
      <c r="J347" s="7">
        <v>0.05</v>
      </c>
      <c r="K347" s="6">
        <v>1263.5</v>
      </c>
      <c r="L347" s="6">
        <v>758.65</v>
      </c>
      <c r="M347" s="5">
        <v>504.85</v>
      </c>
      <c r="N347" s="5" t="s">
        <v>66</v>
      </c>
      <c r="O347" s="2"/>
      <c r="P347" s="2"/>
    </row>
    <row r="348" spans="1:16">
      <c r="A348" s="5" t="s">
        <v>649</v>
      </c>
      <c r="B348" s="8">
        <v>46076</v>
      </c>
      <c r="C348" s="14">
        <f t="shared" si="5"/>
        <v>46054</v>
      </c>
      <c r="D348" s="5" t="s">
        <v>308</v>
      </c>
      <c r="E348" s="5" t="s">
        <v>15</v>
      </c>
      <c r="F348" s="5" t="s">
        <v>5</v>
      </c>
      <c r="G348" s="5" t="s">
        <v>11</v>
      </c>
      <c r="H348" s="5">
        <v>1</v>
      </c>
      <c r="I348" s="6">
        <v>3550</v>
      </c>
      <c r="J348" s="7">
        <v>0.05</v>
      </c>
      <c r="K348" s="6">
        <v>3372.5</v>
      </c>
      <c r="L348" s="6">
        <v>2213.96</v>
      </c>
      <c r="M348" s="5">
        <v>1158.54</v>
      </c>
      <c r="N348" s="5" t="s">
        <v>66</v>
      </c>
      <c r="O348" s="2"/>
      <c r="P348" s="2"/>
    </row>
    <row r="349" spans="1:16">
      <c r="A349" s="5" t="s">
        <v>650</v>
      </c>
      <c r="B349" s="8">
        <v>46077</v>
      </c>
      <c r="C349" s="14">
        <f t="shared" si="5"/>
        <v>46054</v>
      </c>
      <c r="D349" s="5" t="s">
        <v>651</v>
      </c>
      <c r="E349" s="5" t="s">
        <v>121</v>
      </c>
      <c r="F349" s="5" t="s">
        <v>3</v>
      </c>
      <c r="G349" s="5" t="s">
        <v>8</v>
      </c>
      <c r="H349" s="5">
        <v>1</v>
      </c>
      <c r="I349" s="6">
        <v>1320</v>
      </c>
      <c r="J349" s="7">
        <v>0</v>
      </c>
      <c r="K349" s="6">
        <v>1320</v>
      </c>
      <c r="L349" s="6">
        <v>737.43</v>
      </c>
      <c r="M349" s="5">
        <v>582.57000000000005</v>
      </c>
      <c r="N349" s="5" t="s">
        <v>63</v>
      </c>
      <c r="O349" s="2"/>
      <c r="P349" s="2"/>
    </row>
    <row r="350" spans="1:16">
      <c r="A350" s="5" t="s">
        <v>652</v>
      </c>
      <c r="B350" s="8">
        <v>46077</v>
      </c>
      <c r="C350" s="14">
        <f t="shared" si="5"/>
        <v>46054</v>
      </c>
      <c r="D350" s="5" t="s">
        <v>653</v>
      </c>
      <c r="E350" s="5" t="s">
        <v>121</v>
      </c>
      <c r="F350" s="5" t="s">
        <v>3</v>
      </c>
      <c r="G350" s="5" t="s">
        <v>11</v>
      </c>
      <c r="H350" s="5">
        <v>3</v>
      </c>
      <c r="I350" s="6">
        <v>1300</v>
      </c>
      <c r="J350" s="7">
        <v>0.1</v>
      </c>
      <c r="K350" s="6">
        <v>3510</v>
      </c>
      <c r="L350" s="6">
        <v>2319</v>
      </c>
      <c r="M350" s="5">
        <v>1191</v>
      </c>
      <c r="N350" s="5" t="s">
        <v>66</v>
      </c>
      <c r="O350" s="2"/>
      <c r="P350" s="2"/>
    </row>
    <row r="351" spans="1:16">
      <c r="A351" s="5" t="s">
        <v>654</v>
      </c>
      <c r="B351" s="8">
        <v>46078</v>
      </c>
      <c r="C351" s="14">
        <f t="shared" si="5"/>
        <v>46054</v>
      </c>
      <c r="D351" s="5" t="s">
        <v>208</v>
      </c>
      <c r="E351" s="5" t="s">
        <v>14</v>
      </c>
      <c r="F351" s="5" t="s">
        <v>5</v>
      </c>
      <c r="G351" s="5" t="s">
        <v>10</v>
      </c>
      <c r="H351" s="5">
        <v>1</v>
      </c>
      <c r="I351" s="6">
        <v>5510</v>
      </c>
      <c r="J351" s="7">
        <v>0.15</v>
      </c>
      <c r="K351" s="6">
        <v>4683.5</v>
      </c>
      <c r="L351" s="6">
        <v>3567.19</v>
      </c>
      <c r="M351" s="5">
        <v>1116.31</v>
      </c>
      <c r="N351" s="5" t="s">
        <v>66</v>
      </c>
      <c r="O351" s="2"/>
      <c r="P351" s="2"/>
    </row>
    <row r="352" spans="1:16">
      <c r="A352" s="5" t="s">
        <v>655</v>
      </c>
      <c r="B352" s="8">
        <v>46079</v>
      </c>
      <c r="C352" s="14">
        <f t="shared" si="5"/>
        <v>46054</v>
      </c>
      <c r="D352" s="5" t="s">
        <v>374</v>
      </c>
      <c r="E352" s="5" t="s">
        <v>90</v>
      </c>
      <c r="F352" s="5" t="s">
        <v>3</v>
      </c>
      <c r="G352" s="5" t="s">
        <v>10</v>
      </c>
      <c r="H352" s="5">
        <v>5</v>
      </c>
      <c r="I352" s="6">
        <v>2060</v>
      </c>
      <c r="J352" s="7">
        <v>0.1</v>
      </c>
      <c r="K352" s="6">
        <v>9270</v>
      </c>
      <c r="L352" s="6">
        <v>5821.85</v>
      </c>
      <c r="M352" s="5">
        <v>3448.15</v>
      </c>
      <c r="N352" s="5" t="s">
        <v>62</v>
      </c>
      <c r="O352" s="2"/>
      <c r="P352" s="2"/>
    </row>
    <row r="353" spans="1:16">
      <c r="A353" s="5" t="s">
        <v>656</v>
      </c>
      <c r="B353" s="8">
        <v>46083</v>
      </c>
      <c r="C353" s="14">
        <f t="shared" si="5"/>
        <v>46082</v>
      </c>
      <c r="D353" s="5" t="s">
        <v>499</v>
      </c>
      <c r="E353" s="5" t="s">
        <v>16</v>
      </c>
      <c r="F353" s="5" t="s">
        <v>3</v>
      </c>
      <c r="G353" s="5" t="s">
        <v>9</v>
      </c>
      <c r="H353" s="5">
        <v>2</v>
      </c>
      <c r="I353" s="6">
        <v>3960</v>
      </c>
      <c r="J353" s="7">
        <v>0.05</v>
      </c>
      <c r="K353" s="6">
        <v>7524</v>
      </c>
      <c r="L353" s="6">
        <v>5091.71</v>
      </c>
      <c r="M353" s="5">
        <v>2432.29</v>
      </c>
      <c r="N353" s="5" t="s">
        <v>62</v>
      </c>
      <c r="O353" s="2"/>
      <c r="P353" s="2"/>
    </row>
    <row r="354" spans="1:16">
      <c r="A354" s="5" t="s">
        <v>657</v>
      </c>
      <c r="B354" s="8">
        <v>46084</v>
      </c>
      <c r="C354" s="14">
        <f t="shared" si="5"/>
        <v>46082</v>
      </c>
      <c r="D354" s="5" t="s">
        <v>658</v>
      </c>
      <c r="E354" s="5" t="s">
        <v>78</v>
      </c>
      <c r="F354" s="5" t="s">
        <v>2</v>
      </c>
      <c r="G354" s="5" t="s">
        <v>10</v>
      </c>
      <c r="H354" s="5">
        <v>1</v>
      </c>
      <c r="I354" s="6">
        <v>3550</v>
      </c>
      <c r="J354" s="7">
        <v>0.05</v>
      </c>
      <c r="K354" s="6">
        <v>3372.5</v>
      </c>
      <c r="L354" s="6">
        <v>2058.4</v>
      </c>
      <c r="M354" s="5">
        <v>1314.1</v>
      </c>
      <c r="N354" s="5" t="s">
        <v>62</v>
      </c>
      <c r="O354" s="2"/>
      <c r="P354" s="2"/>
    </row>
    <row r="355" spans="1:16">
      <c r="A355" s="5" t="s">
        <v>659</v>
      </c>
      <c r="B355" s="8">
        <v>46085</v>
      </c>
      <c r="C355" s="14">
        <f t="shared" si="5"/>
        <v>46082</v>
      </c>
      <c r="D355" s="5" t="s">
        <v>286</v>
      </c>
      <c r="E355" s="5" t="s">
        <v>100</v>
      </c>
      <c r="F355" s="5" t="s">
        <v>4</v>
      </c>
      <c r="G355" s="5" t="s">
        <v>9</v>
      </c>
      <c r="H355" s="5">
        <v>1</v>
      </c>
      <c r="I355" s="6">
        <v>1450</v>
      </c>
      <c r="J355" s="7">
        <v>0.15</v>
      </c>
      <c r="K355" s="6">
        <v>1232.5</v>
      </c>
      <c r="L355" s="6">
        <v>860.13</v>
      </c>
      <c r="M355" s="5">
        <v>372.37</v>
      </c>
      <c r="N355" s="5" t="s">
        <v>64</v>
      </c>
      <c r="O355" s="2"/>
      <c r="P355" s="2"/>
    </row>
    <row r="356" spans="1:16">
      <c r="A356" s="5" t="s">
        <v>660</v>
      </c>
      <c r="B356" s="8">
        <v>46085</v>
      </c>
      <c r="C356" s="14">
        <f t="shared" si="5"/>
        <v>46082</v>
      </c>
      <c r="D356" s="5" t="s">
        <v>284</v>
      </c>
      <c r="E356" s="5" t="s">
        <v>149</v>
      </c>
      <c r="F356" s="5" t="s">
        <v>2</v>
      </c>
      <c r="G356" s="5" t="s">
        <v>11</v>
      </c>
      <c r="H356" s="5">
        <v>3</v>
      </c>
      <c r="I356" s="6">
        <v>2210</v>
      </c>
      <c r="J356" s="7">
        <v>0.1</v>
      </c>
      <c r="K356" s="6">
        <v>5967</v>
      </c>
      <c r="L356" s="6">
        <v>3828.58</v>
      </c>
      <c r="M356" s="5">
        <v>2138.42</v>
      </c>
      <c r="N356" s="5" t="s">
        <v>64</v>
      </c>
      <c r="O356" s="2"/>
      <c r="P356" s="2"/>
    </row>
    <row r="357" spans="1:16">
      <c r="A357" s="5" t="s">
        <v>661</v>
      </c>
      <c r="B357" s="8">
        <v>46087</v>
      </c>
      <c r="C357" s="14">
        <f t="shared" si="5"/>
        <v>46082</v>
      </c>
      <c r="D357" s="5" t="s">
        <v>662</v>
      </c>
      <c r="E357" s="5" t="s">
        <v>16</v>
      </c>
      <c r="F357" s="5" t="s">
        <v>3</v>
      </c>
      <c r="G357" s="5" t="s">
        <v>11</v>
      </c>
      <c r="H357" s="5">
        <v>1</v>
      </c>
      <c r="I357" s="6">
        <v>4010</v>
      </c>
      <c r="J357" s="7">
        <v>0.15</v>
      </c>
      <c r="K357" s="6">
        <v>3408.5</v>
      </c>
      <c r="L357" s="6">
        <v>2548.89</v>
      </c>
      <c r="M357" s="5">
        <v>859.61</v>
      </c>
      <c r="N357" s="5" t="s">
        <v>65</v>
      </c>
      <c r="O357" s="2"/>
      <c r="P357" s="2"/>
    </row>
    <row r="358" spans="1:16">
      <c r="A358" s="5" t="s">
        <v>663</v>
      </c>
      <c r="B358" s="8">
        <v>46089</v>
      </c>
      <c r="C358" s="14">
        <f t="shared" si="5"/>
        <v>46082</v>
      </c>
      <c r="D358" s="5" t="s">
        <v>134</v>
      </c>
      <c r="E358" s="5" t="s">
        <v>83</v>
      </c>
      <c r="F358" s="5" t="s">
        <v>4</v>
      </c>
      <c r="G358" s="5" t="s">
        <v>10</v>
      </c>
      <c r="H358" s="5">
        <v>1</v>
      </c>
      <c r="I358" s="6">
        <v>1570</v>
      </c>
      <c r="J358" s="7">
        <v>0.1</v>
      </c>
      <c r="K358" s="6">
        <v>1413</v>
      </c>
      <c r="L358" s="6">
        <v>907.13</v>
      </c>
      <c r="M358" s="5">
        <v>505.87</v>
      </c>
      <c r="N358" s="5" t="s">
        <v>66</v>
      </c>
      <c r="O358" s="2"/>
      <c r="P358" s="2"/>
    </row>
    <row r="359" spans="1:16">
      <c r="A359" s="5" t="s">
        <v>664</v>
      </c>
      <c r="B359" s="8">
        <v>46089</v>
      </c>
      <c r="C359" s="14">
        <f t="shared" si="5"/>
        <v>46082</v>
      </c>
      <c r="D359" s="5" t="s">
        <v>97</v>
      </c>
      <c r="E359" s="5" t="s">
        <v>18</v>
      </c>
      <c r="F359" s="5" t="s">
        <v>3</v>
      </c>
      <c r="G359" s="5" t="s">
        <v>10</v>
      </c>
      <c r="H359" s="5">
        <v>5</v>
      </c>
      <c r="I359" s="6">
        <v>2500</v>
      </c>
      <c r="J359" s="7">
        <v>0.15</v>
      </c>
      <c r="K359" s="6">
        <v>10625</v>
      </c>
      <c r="L359" s="6">
        <v>7547.09</v>
      </c>
      <c r="M359" s="5">
        <v>3077.91</v>
      </c>
      <c r="N359" s="5" t="s">
        <v>63</v>
      </c>
      <c r="O359" s="2"/>
      <c r="P359" s="2"/>
    </row>
    <row r="360" spans="1:16">
      <c r="A360" s="5" t="s">
        <v>665</v>
      </c>
      <c r="B360" s="8">
        <v>46090</v>
      </c>
      <c r="C360" s="14">
        <f t="shared" si="5"/>
        <v>46082</v>
      </c>
      <c r="D360" s="5" t="s">
        <v>203</v>
      </c>
      <c r="E360" s="5" t="s">
        <v>90</v>
      </c>
      <c r="F360" s="5" t="s">
        <v>3</v>
      </c>
      <c r="G360" s="5" t="s">
        <v>11</v>
      </c>
      <c r="H360" s="5">
        <v>1</v>
      </c>
      <c r="I360" s="6">
        <v>2040</v>
      </c>
      <c r="J360" s="7">
        <v>0.1</v>
      </c>
      <c r="K360" s="6">
        <v>1836</v>
      </c>
      <c r="L360" s="6">
        <v>1201.68</v>
      </c>
      <c r="M360" s="5">
        <v>634.32000000000005</v>
      </c>
      <c r="N360" s="5" t="s">
        <v>66</v>
      </c>
      <c r="O360" s="2"/>
      <c r="P360" s="2"/>
    </row>
    <row r="361" spans="1:16">
      <c r="A361" s="5" t="s">
        <v>666</v>
      </c>
      <c r="B361" s="8">
        <v>46093</v>
      </c>
      <c r="C361" s="14">
        <f t="shared" si="5"/>
        <v>46082</v>
      </c>
      <c r="D361" s="5" t="s">
        <v>667</v>
      </c>
      <c r="E361" s="5" t="s">
        <v>221</v>
      </c>
      <c r="F361" s="5" t="s">
        <v>2</v>
      </c>
      <c r="G361" s="5" t="s">
        <v>10</v>
      </c>
      <c r="H361" s="5">
        <v>1</v>
      </c>
      <c r="I361" s="6">
        <v>1860</v>
      </c>
      <c r="J361" s="7">
        <v>0.05</v>
      </c>
      <c r="K361" s="6">
        <v>1767</v>
      </c>
      <c r="L361" s="6">
        <v>1022.44</v>
      </c>
      <c r="M361" s="5">
        <v>744.56</v>
      </c>
      <c r="N361" s="5" t="s">
        <v>66</v>
      </c>
      <c r="O361" s="2"/>
      <c r="P361" s="2"/>
    </row>
    <row r="362" spans="1:16">
      <c r="A362" s="5" t="s">
        <v>668</v>
      </c>
      <c r="B362" s="8">
        <v>46094</v>
      </c>
      <c r="C362" s="14">
        <f t="shared" si="5"/>
        <v>46082</v>
      </c>
      <c r="D362" s="5" t="s">
        <v>555</v>
      </c>
      <c r="E362" s="5" t="s">
        <v>342</v>
      </c>
      <c r="F362" s="5" t="s">
        <v>2</v>
      </c>
      <c r="G362" s="5" t="s">
        <v>11</v>
      </c>
      <c r="H362" s="5">
        <v>3</v>
      </c>
      <c r="I362" s="6">
        <v>2740</v>
      </c>
      <c r="J362" s="7">
        <v>0.05</v>
      </c>
      <c r="K362" s="6">
        <v>7809</v>
      </c>
      <c r="L362" s="6">
        <v>4862.3999999999996</v>
      </c>
      <c r="M362" s="5">
        <v>2946.6</v>
      </c>
      <c r="N362" s="5" t="s">
        <v>64</v>
      </c>
      <c r="O362" s="2"/>
      <c r="P362" s="2"/>
    </row>
    <row r="363" spans="1:16">
      <c r="A363" s="5" t="s">
        <v>669</v>
      </c>
      <c r="B363" s="8">
        <v>46099</v>
      </c>
      <c r="C363" s="14">
        <f t="shared" si="5"/>
        <v>46082</v>
      </c>
      <c r="D363" s="5" t="s">
        <v>53</v>
      </c>
      <c r="E363" s="5" t="s">
        <v>78</v>
      </c>
      <c r="F363" s="5" t="s">
        <v>2</v>
      </c>
      <c r="G363" s="5" t="s">
        <v>11</v>
      </c>
      <c r="H363" s="5">
        <v>3</v>
      </c>
      <c r="I363" s="6">
        <v>3520</v>
      </c>
      <c r="J363" s="7">
        <v>0.1</v>
      </c>
      <c r="K363" s="6">
        <v>9504</v>
      </c>
      <c r="L363" s="6">
        <v>6485.48</v>
      </c>
      <c r="M363" s="5">
        <v>3018.52</v>
      </c>
      <c r="N363" s="5" t="s">
        <v>64</v>
      </c>
      <c r="O363" s="2"/>
      <c r="P363" s="2"/>
    </row>
    <row r="364" spans="1:16">
      <c r="A364" s="5" t="s">
        <v>670</v>
      </c>
      <c r="B364" s="8">
        <v>46100</v>
      </c>
      <c r="C364" s="14">
        <f t="shared" si="5"/>
        <v>46082</v>
      </c>
      <c r="D364" s="5" t="s">
        <v>671</v>
      </c>
      <c r="E364" s="5" t="s">
        <v>90</v>
      </c>
      <c r="F364" s="5" t="s">
        <v>3</v>
      </c>
      <c r="G364" s="5" t="s">
        <v>11</v>
      </c>
      <c r="H364" s="5">
        <v>1</v>
      </c>
      <c r="I364" s="6">
        <v>2060</v>
      </c>
      <c r="J364" s="7">
        <v>0.1</v>
      </c>
      <c r="K364" s="6">
        <v>1854</v>
      </c>
      <c r="L364" s="6">
        <v>1204.08</v>
      </c>
      <c r="M364" s="5">
        <v>649.91999999999996</v>
      </c>
      <c r="N364" s="5" t="s">
        <v>63</v>
      </c>
      <c r="O364" s="2"/>
      <c r="P364" s="2"/>
    </row>
    <row r="365" spans="1:16">
      <c r="A365" s="5" t="s">
        <v>672</v>
      </c>
      <c r="B365" s="8">
        <v>46103</v>
      </c>
      <c r="C365" s="14">
        <f t="shared" si="5"/>
        <v>46082</v>
      </c>
      <c r="D365" s="5" t="s">
        <v>129</v>
      </c>
      <c r="E365" s="5" t="s">
        <v>149</v>
      </c>
      <c r="F365" s="5" t="s">
        <v>2</v>
      </c>
      <c r="G365" s="5" t="s">
        <v>8</v>
      </c>
      <c r="H365" s="5">
        <v>1</v>
      </c>
      <c r="I365" s="6">
        <v>2210</v>
      </c>
      <c r="J365" s="7">
        <v>0.05</v>
      </c>
      <c r="K365" s="6">
        <v>2099.5</v>
      </c>
      <c r="L365" s="6">
        <v>1299.8599999999999</v>
      </c>
      <c r="M365" s="5">
        <v>799.64</v>
      </c>
      <c r="N365" s="5" t="s">
        <v>64</v>
      </c>
      <c r="O365" s="2"/>
      <c r="P365" s="2"/>
    </row>
    <row r="366" spans="1:16">
      <c r="A366" s="5" t="s">
        <v>673</v>
      </c>
      <c r="B366" s="8">
        <v>46104</v>
      </c>
      <c r="C366" s="14">
        <f t="shared" si="5"/>
        <v>46082</v>
      </c>
      <c r="D366" s="5" t="s">
        <v>262</v>
      </c>
      <c r="E366" s="5" t="s">
        <v>149</v>
      </c>
      <c r="F366" s="5" t="s">
        <v>2</v>
      </c>
      <c r="G366" s="5" t="s">
        <v>8</v>
      </c>
      <c r="H366" s="5">
        <v>2</v>
      </c>
      <c r="I366" s="6">
        <v>2240</v>
      </c>
      <c r="J366" s="7">
        <v>0.05</v>
      </c>
      <c r="K366" s="6">
        <v>4256</v>
      </c>
      <c r="L366" s="6">
        <v>2559.44</v>
      </c>
      <c r="M366" s="5">
        <v>1696.56</v>
      </c>
      <c r="N366" s="5" t="s">
        <v>62</v>
      </c>
      <c r="O366" s="2"/>
      <c r="P366" s="2"/>
    </row>
    <row r="367" spans="1:16">
      <c r="A367" s="5" t="s">
        <v>674</v>
      </c>
      <c r="B367" s="8">
        <v>46105</v>
      </c>
      <c r="C367" s="14">
        <f t="shared" si="5"/>
        <v>46082</v>
      </c>
      <c r="D367" s="5" t="s">
        <v>57</v>
      </c>
      <c r="E367" s="5" t="s">
        <v>14</v>
      </c>
      <c r="F367" s="5" t="s">
        <v>5</v>
      </c>
      <c r="G367" s="5" t="s">
        <v>10</v>
      </c>
      <c r="H367" s="5">
        <v>1</v>
      </c>
      <c r="I367" s="6">
        <v>5370</v>
      </c>
      <c r="J367" s="7">
        <v>0.2</v>
      </c>
      <c r="K367" s="6">
        <v>4296</v>
      </c>
      <c r="L367" s="6">
        <v>3582.72</v>
      </c>
      <c r="M367" s="5">
        <v>713.28</v>
      </c>
      <c r="N367" s="5" t="s">
        <v>66</v>
      </c>
      <c r="O367" s="2"/>
      <c r="P367" s="2"/>
    </row>
    <row r="368" spans="1:16">
      <c r="A368" s="5" t="s">
        <v>675</v>
      </c>
      <c r="B368" s="8">
        <v>46106</v>
      </c>
      <c r="C368" s="14">
        <f t="shared" si="5"/>
        <v>46082</v>
      </c>
      <c r="D368" s="5" t="s">
        <v>676</v>
      </c>
      <c r="E368" s="5" t="s">
        <v>14</v>
      </c>
      <c r="F368" s="5" t="s">
        <v>5</v>
      </c>
      <c r="G368" s="5" t="s">
        <v>10</v>
      </c>
      <c r="H368" s="5">
        <v>2</v>
      </c>
      <c r="I368" s="6">
        <v>5510</v>
      </c>
      <c r="J368" s="7">
        <v>0.1</v>
      </c>
      <c r="K368" s="6">
        <v>9918</v>
      </c>
      <c r="L368" s="6">
        <v>7381.18</v>
      </c>
      <c r="M368" s="5">
        <v>2536.8200000000002</v>
      </c>
      <c r="N368" s="5" t="s">
        <v>63</v>
      </c>
      <c r="O368" s="2"/>
      <c r="P368" s="2"/>
    </row>
    <row r="369" spans="1:16">
      <c r="A369" s="5" t="s">
        <v>677</v>
      </c>
      <c r="B369" s="8">
        <v>46106</v>
      </c>
      <c r="C369" s="14">
        <f t="shared" si="5"/>
        <v>46082</v>
      </c>
      <c r="D369" s="5" t="s">
        <v>678</v>
      </c>
      <c r="E369" s="5" t="s">
        <v>16</v>
      </c>
      <c r="F369" s="5" t="s">
        <v>3</v>
      </c>
      <c r="G369" s="5" t="s">
        <v>11</v>
      </c>
      <c r="H369" s="5">
        <v>2</v>
      </c>
      <c r="I369" s="6">
        <v>3980</v>
      </c>
      <c r="J369" s="7">
        <v>0.1</v>
      </c>
      <c r="K369" s="6">
        <v>7164</v>
      </c>
      <c r="L369" s="6">
        <v>4992.29</v>
      </c>
      <c r="M369" s="5">
        <v>2171.71</v>
      </c>
      <c r="N369" s="5" t="s">
        <v>63</v>
      </c>
      <c r="O369" s="2"/>
      <c r="P369" s="2"/>
    </row>
    <row r="370" spans="1:16">
      <c r="A370" s="5" t="s">
        <v>679</v>
      </c>
      <c r="B370" s="8">
        <v>46107</v>
      </c>
      <c r="C370" s="14">
        <f t="shared" si="5"/>
        <v>46082</v>
      </c>
      <c r="D370" s="5" t="s">
        <v>319</v>
      </c>
      <c r="E370" s="5" t="s">
        <v>149</v>
      </c>
      <c r="F370" s="5" t="s">
        <v>2</v>
      </c>
      <c r="G370" s="5" t="s">
        <v>8</v>
      </c>
      <c r="H370" s="5">
        <v>3</v>
      </c>
      <c r="I370" s="6">
        <v>2260</v>
      </c>
      <c r="J370" s="7">
        <v>0.15</v>
      </c>
      <c r="K370" s="6">
        <v>5763</v>
      </c>
      <c r="L370" s="6">
        <v>3837.3</v>
      </c>
      <c r="M370" s="5">
        <v>1925.7</v>
      </c>
      <c r="N370" s="5" t="s">
        <v>63</v>
      </c>
      <c r="O370" s="2"/>
      <c r="P370" s="2"/>
    </row>
    <row r="371" spans="1:16">
      <c r="A371" s="5" t="s">
        <v>680</v>
      </c>
      <c r="B371" s="8">
        <v>46108</v>
      </c>
      <c r="C371" s="14">
        <f t="shared" si="5"/>
        <v>46082</v>
      </c>
      <c r="D371" s="5" t="s">
        <v>393</v>
      </c>
      <c r="E371" s="5" t="s">
        <v>100</v>
      </c>
      <c r="F371" s="5" t="s">
        <v>4</v>
      </c>
      <c r="G371" s="5" t="s">
        <v>11</v>
      </c>
      <c r="H371" s="5">
        <v>3</v>
      </c>
      <c r="I371" s="6">
        <v>1550</v>
      </c>
      <c r="J371" s="7">
        <v>0</v>
      </c>
      <c r="K371" s="6">
        <v>4650</v>
      </c>
      <c r="L371" s="6">
        <v>2475.38</v>
      </c>
      <c r="M371" s="5">
        <v>2174.62</v>
      </c>
      <c r="N371" s="5" t="s">
        <v>63</v>
      </c>
      <c r="O371" s="2"/>
      <c r="P371" s="2"/>
    </row>
    <row r="372" spans="1:16">
      <c r="A372" s="5" t="s">
        <v>681</v>
      </c>
      <c r="B372" s="8">
        <v>46110</v>
      </c>
      <c r="C372" s="14">
        <f t="shared" si="5"/>
        <v>46082</v>
      </c>
      <c r="D372" s="5" t="s">
        <v>59</v>
      </c>
      <c r="E372" s="5" t="s">
        <v>14</v>
      </c>
      <c r="F372" s="5" t="s">
        <v>5</v>
      </c>
      <c r="G372" s="5" t="s">
        <v>8</v>
      </c>
      <c r="H372" s="5">
        <v>4</v>
      </c>
      <c r="I372" s="6">
        <v>5370</v>
      </c>
      <c r="J372" s="7">
        <v>0.05</v>
      </c>
      <c r="K372" s="6">
        <v>20406</v>
      </c>
      <c r="L372" s="6">
        <v>13994.9</v>
      </c>
      <c r="M372" s="5">
        <v>6411.1</v>
      </c>
      <c r="N372" s="5" t="s">
        <v>63</v>
      </c>
      <c r="O372" s="2"/>
      <c r="P372" s="2"/>
    </row>
    <row r="373" spans="1:16">
      <c r="A373" s="5" t="s">
        <v>682</v>
      </c>
      <c r="B373" s="8">
        <v>46112</v>
      </c>
      <c r="C373" s="14">
        <f t="shared" si="5"/>
        <v>46082</v>
      </c>
      <c r="D373" s="5" t="s">
        <v>132</v>
      </c>
      <c r="E373" s="5" t="s">
        <v>17</v>
      </c>
      <c r="F373" s="5" t="s">
        <v>4</v>
      </c>
      <c r="G373" s="5" t="s">
        <v>11</v>
      </c>
      <c r="H373" s="5">
        <v>1</v>
      </c>
      <c r="I373" s="6">
        <v>2980</v>
      </c>
      <c r="J373" s="7">
        <v>0.15</v>
      </c>
      <c r="K373" s="6">
        <v>2533</v>
      </c>
      <c r="L373" s="6">
        <v>1833.78</v>
      </c>
      <c r="M373" s="5">
        <v>699.22</v>
      </c>
      <c r="N373" s="5" t="s">
        <v>62</v>
      </c>
      <c r="O373" s="2"/>
      <c r="P373" s="2"/>
    </row>
    <row r="374" spans="1:16">
      <c r="A374" s="5" t="s">
        <v>683</v>
      </c>
      <c r="B374" s="8">
        <v>46112</v>
      </c>
      <c r="C374" s="14">
        <f t="shared" si="5"/>
        <v>46082</v>
      </c>
      <c r="D374" s="5" t="s">
        <v>160</v>
      </c>
      <c r="E374" s="5" t="s">
        <v>95</v>
      </c>
      <c r="F374" s="5" t="s">
        <v>4</v>
      </c>
      <c r="G374" s="5" t="s">
        <v>10</v>
      </c>
      <c r="H374" s="5">
        <v>3</v>
      </c>
      <c r="I374" s="6">
        <v>1960</v>
      </c>
      <c r="J374" s="7">
        <v>0.25</v>
      </c>
      <c r="K374" s="6">
        <v>4410</v>
      </c>
      <c r="L374" s="6">
        <v>3402.71</v>
      </c>
      <c r="M374" s="5">
        <v>1007.29</v>
      </c>
      <c r="N374" s="5" t="s">
        <v>66</v>
      </c>
      <c r="O374" s="2"/>
      <c r="P374" s="2"/>
    </row>
    <row r="375" spans="1:16">
      <c r="A375" s="5" t="s">
        <v>684</v>
      </c>
      <c r="B375" s="8">
        <v>46115</v>
      </c>
      <c r="C375" s="14">
        <f t="shared" si="5"/>
        <v>46113</v>
      </c>
      <c r="D375" s="5" t="s">
        <v>286</v>
      </c>
      <c r="E375" s="5" t="s">
        <v>17</v>
      </c>
      <c r="F375" s="5" t="s">
        <v>4</v>
      </c>
      <c r="G375" s="5" t="s">
        <v>10</v>
      </c>
      <c r="H375" s="5">
        <v>2</v>
      </c>
      <c r="I375" s="6">
        <v>2960</v>
      </c>
      <c r="J375" s="7">
        <v>0.05</v>
      </c>
      <c r="K375" s="6">
        <v>5624</v>
      </c>
      <c r="L375" s="6">
        <v>3802.38</v>
      </c>
      <c r="M375" s="5">
        <v>1821.62</v>
      </c>
      <c r="N375" s="5" t="s">
        <v>63</v>
      </c>
      <c r="O375" s="2"/>
      <c r="P375" s="2"/>
    </row>
    <row r="376" spans="1:16">
      <c r="A376" s="5" t="s">
        <v>685</v>
      </c>
      <c r="B376" s="8">
        <v>46115</v>
      </c>
      <c r="C376" s="14">
        <f t="shared" si="5"/>
        <v>46113</v>
      </c>
      <c r="D376" s="5" t="s">
        <v>314</v>
      </c>
      <c r="E376" s="5" t="s">
        <v>95</v>
      </c>
      <c r="F376" s="5" t="s">
        <v>4</v>
      </c>
      <c r="G376" s="5" t="s">
        <v>10</v>
      </c>
      <c r="H376" s="5">
        <v>3</v>
      </c>
      <c r="I376" s="6">
        <v>1990</v>
      </c>
      <c r="J376" s="7">
        <v>0.1</v>
      </c>
      <c r="K376" s="6">
        <v>5373</v>
      </c>
      <c r="L376" s="6">
        <v>3531.47</v>
      </c>
      <c r="M376" s="5">
        <v>1841.53</v>
      </c>
      <c r="N376" s="5" t="s">
        <v>66</v>
      </c>
      <c r="O376" s="2"/>
      <c r="P376" s="2"/>
    </row>
    <row r="377" spans="1:16">
      <c r="A377" s="5" t="s">
        <v>686</v>
      </c>
      <c r="B377" s="8">
        <v>46117</v>
      </c>
      <c r="C377" s="14">
        <f t="shared" si="5"/>
        <v>46113</v>
      </c>
      <c r="D377" s="5" t="s">
        <v>410</v>
      </c>
      <c r="E377" s="5" t="s">
        <v>149</v>
      </c>
      <c r="F377" s="5" t="s">
        <v>2</v>
      </c>
      <c r="G377" s="5" t="s">
        <v>9</v>
      </c>
      <c r="H377" s="5">
        <v>1</v>
      </c>
      <c r="I377" s="6">
        <v>2260</v>
      </c>
      <c r="J377" s="7">
        <v>0.05</v>
      </c>
      <c r="K377" s="6">
        <v>2147</v>
      </c>
      <c r="L377" s="6">
        <v>1289.0899999999999</v>
      </c>
      <c r="M377" s="5">
        <v>857.91</v>
      </c>
      <c r="N377" s="5" t="s">
        <v>64</v>
      </c>
      <c r="O377" s="2"/>
      <c r="P377" s="2"/>
    </row>
    <row r="378" spans="1:16">
      <c r="A378" s="5" t="s">
        <v>687</v>
      </c>
      <c r="B378" s="8">
        <v>46117</v>
      </c>
      <c r="C378" s="14">
        <f t="shared" si="5"/>
        <v>46113</v>
      </c>
      <c r="D378" s="5" t="s">
        <v>246</v>
      </c>
      <c r="E378" s="5" t="s">
        <v>100</v>
      </c>
      <c r="F378" s="5" t="s">
        <v>4</v>
      </c>
      <c r="G378" s="5" t="s">
        <v>10</v>
      </c>
      <c r="H378" s="5">
        <v>1</v>
      </c>
      <c r="I378" s="6">
        <v>1520</v>
      </c>
      <c r="J378" s="7">
        <v>0.2</v>
      </c>
      <c r="K378" s="6">
        <v>1216</v>
      </c>
      <c r="L378" s="6">
        <v>869.09</v>
      </c>
      <c r="M378" s="5">
        <v>346.91</v>
      </c>
      <c r="N378" s="5" t="s">
        <v>62</v>
      </c>
      <c r="O378" s="2"/>
      <c r="P378" s="2"/>
    </row>
    <row r="379" spans="1:16">
      <c r="A379" s="5" t="s">
        <v>688</v>
      </c>
      <c r="B379" s="8">
        <v>46118</v>
      </c>
      <c r="C379" s="14">
        <f t="shared" si="5"/>
        <v>46113</v>
      </c>
      <c r="D379" s="5" t="s">
        <v>168</v>
      </c>
      <c r="E379" s="5" t="s">
        <v>78</v>
      </c>
      <c r="F379" s="5" t="s">
        <v>2</v>
      </c>
      <c r="G379" s="5" t="s">
        <v>10</v>
      </c>
      <c r="H379" s="5">
        <v>1</v>
      </c>
      <c r="I379" s="6">
        <v>3380</v>
      </c>
      <c r="J379" s="7">
        <v>0</v>
      </c>
      <c r="K379" s="6">
        <v>3380</v>
      </c>
      <c r="L379" s="6">
        <v>2124.16</v>
      </c>
      <c r="M379" s="5">
        <v>1255.8399999999999</v>
      </c>
      <c r="N379" s="5" t="s">
        <v>66</v>
      </c>
      <c r="O379" s="2"/>
      <c r="P379" s="2"/>
    </row>
    <row r="380" spans="1:16">
      <c r="A380" s="5" t="s">
        <v>689</v>
      </c>
      <c r="B380" s="8">
        <v>46120</v>
      </c>
      <c r="C380" s="14">
        <f t="shared" si="5"/>
        <v>46113</v>
      </c>
      <c r="D380" s="5" t="s">
        <v>239</v>
      </c>
      <c r="E380" s="5" t="s">
        <v>121</v>
      </c>
      <c r="F380" s="5" t="s">
        <v>3</v>
      </c>
      <c r="G380" s="5" t="s">
        <v>8</v>
      </c>
      <c r="H380" s="5">
        <v>1</v>
      </c>
      <c r="I380" s="6">
        <v>1280</v>
      </c>
      <c r="J380" s="7">
        <v>0</v>
      </c>
      <c r="K380" s="6">
        <v>1280</v>
      </c>
      <c r="L380" s="6">
        <v>741.81</v>
      </c>
      <c r="M380" s="5">
        <v>538.19000000000005</v>
      </c>
      <c r="N380" s="5" t="s">
        <v>66</v>
      </c>
      <c r="O380" s="2"/>
      <c r="P380" s="2"/>
    </row>
    <row r="381" spans="1:16">
      <c r="A381" s="5" t="s">
        <v>690</v>
      </c>
      <c r="B381" s="8">
        <v>46120</v>
      </c>
      <c r="C381" s="14">
        <f t="shared" si="5"/>
        <v>46113</v>
      </c>
      <c r="D381" s="5" t="s">
        <v>508</v>
      </c>
      <c r="E381" s="5" t="s">
        <v>342</v>
      </c>
      <c r="F381" s="5" t="s">
        <v>2</v>
      </c>
      <c r="G381" s="5" t="s">
        <v>10</v>
      </c>
      <c r="H381" s="5">
        <v>2</v>
      </c>
      <c r="I381" s="6">
        <v>2730</v>
      </c>
      <c r="J381" s="7">
        <v>0.1</v>
      </c>
      <c r="K381" s="6">
        <v>4914</v>
      </c>
      <c r="L381" s="6">
        <v>3347.97</v>
      </c>
      <c r="M381" s="5">
        <v>1566.03</v>
      </c>
      <c r="N381" s="5" t="s">
        <v>63</v>
      </c>
      <c r="O381" s="2"/>
      <c r="P381" s="2"/>
    </row>
    <row r="382" spans="1:16">
      <c r="A382" s="5" t="s">
        <v>691</v>
      </c>
      <c r="B382" s="8">
        <v>46122</v>
      </c>
      <c r="C382" s="14">
        <f t="shared" si="5"/>
        <v>46113</v>
      </c>
      <c r="D382" s="5" t="s">
        <v>372</v>
      </c>
      <c r="E382" s="5" t="s">
        <v>17</v>
      </c>
      <c r="F382" s="5" t="s">
        <v>4</v>
      </c>
      <c r="G382" s="5" t="s">
        <v>10</v>
      </c>
      <c r="H382" s="5">
        <v>2</v>
      </c>
      <c r="I382" s="6">
        <v>3020</v>
      </c>
      <c r="J382" s="7">
        <v>0.05</v>
      </c>
      <c r="K382" s="6">
        <v>5738</v>
      </c>
      <c r="L382" s="6">
        <v>3654.99</v>
      </c>
      <c r="M382" s="5">
        <v>2083.0100000000002</v>
      </c>
      <c r="N382" s="5" t="s">
        <v>66</v>
      </c>
      <c r="O382" s="2"/>
      <c r="P382" s="2"/>
    </row>
    <row r="383" spans="1:16">
      <c r="A383" s="5" t="s">
        <v>692</v>
      </c>
      <c r="B383" s="8">
        <v>46124</v>
      </c>
      <c r="C383" s="14">
        <f t="shared" si="5"/>
        <v>46113</v>
      </c>
      <c r="D383" s="5" t="s">
        <v>393</v>
      </c>
      <c r="E383" s="5" t="s">
        <v>90</v>
      </c>
      <c r="F383" s="5" t="s">
        <v>3</v>
      </c>
      <c r="G383" s="5" t="s">
        <v>9</v>
      </c>
      <c r="H383" s="5">
        <v>2</v>
      </c>
      <c r="I383" s="6">
        <v>1930</v>
      </c>
      <c r="J383" s="7">
        <v>0.1</v>
      </c>
      <c r="K383" s="6">
        <v>3474</v>
      </c>
      <c r="L383" s="6">
        <v>2333.0300000000002</v>
      </c>
      <c r="M383" s="5">
        <v>1140.97</v>
      </c>
      <c r="N383" s="5" t="s">
        <v>62</v>
      </c>
      <c r="O383" s="2"/>
      <c r="P383" s="2"/>
    </row>
    <row r="384" spans="1:16">
      <c r="A384" s="5" t="s">
        <v>693</v>
      </c>
      <c r="B384" s="8">
        <v>46127</v>
      </c>
      <c r="C384" s="14">
        <f t="shared" si="5"/>
        <v>46113</v>
      </c>
      <c r="D384" s="5" t="s">
        <v>694</v>
      </c>
      <c r="E384" s="5" t="s">
        <v>100</v>
      </c>
      <c r="F384" s="5" t="s">
        <v>4</v>
      </c>
      <c r="G384" s="5" t="s">
        <v>10</v>
      </c>
      <c r="H384" s="5">
        <v>5</v>
      </c>
      <c r="I384" s="6">
        <v>1550</v>
      </c>
      <c r="J384" s="7">
        <v>0.1</v>
      </c>
      <c r="K384" s="6">
        <v>6975</v>
      </c>
      <c r="L384" s="6">
        <v>4283.4399999999996</v>
      </c>
      <c r="M384" s="5">
        <v>2691.56</v>
      </c>
      <c r="N384" s="5" t="s">
        <v>66</v>
      </c>
      <c r="O384" s="2"/>
      <c r="P384" s="2"/>
    </row>
    <row r="385" spans="1:16">
      <c r="A385" s="5" t="s">
        <v>695</v>
      </c>
      <c r="B385" s="8">
        <v>46127</v>
      </c>
      <c r="C385" s="14">
        <f t="shared" si="5"/>
        <v>46113</v>
      </c>
      <c r="D385" s="5" t="s">
        <v>393</v>
      </c>
      <c r="E385" s="5" t="s">
        <v>149</v>
      </c>
      <c r="F385" s="5" t="s">
        <v>2</v>
      </c>
      <c r="G385" s="5" t="s">
        <v>9</v>
      </c>
      <c r="H385" s="5">
        <v>1</v>
      </c>
      <c r="I385" s="6">
        <v>2280</v>
      </c>
      <c r="J385" s="7">
        <v>0.15</v>
      </c>
      <c r="K385" s="6">
        <v>1938</v>
      </c>
      <c r="L385" s="6">
        <v>1306.9000000000001</v>
      </c>
      <c r="M385" s="5">
        <v>631.1</v>
      </c>
      <c r="N385" s="5" t="s">
        <v>66</v>
      </c>
      <c r="O385" s="2"/>
      <c r="P385" s="2"/>
    </row>
    <row r="386" spans="1:16">
      <c r="A386" s="5" t="s">
        <v>696</v>
      </c>
      <c r="B386" s="8">
        <v>46128</v>
      </c>
      <c r="C386" s="14">
        <f t="shared" ref="C386:C449" si="6">DATE(YEAR(B386),MONTH(B386),1)</f>
        <v>46113</v>
      </c>
      <c r="D386" s="5" t="s">
        <v>697</v>
      </c>
      <c r="E386" s="5" t="s">
        <v>83</v>
      </c>
      <c r="F386" s="5" t="s">
        <v>4</v>
      </c>
      <c r="G386" s="5" t="s">
        <v>11</v>
      </c>
      <c r="H386" s="5">
        <v>2</v>
      </c>
      <c r="I386" s="6">
        <v>1560</v>
      </c>
      <c r="J386" s="7">
        <v>0.2</v>
      </c>
      <c r="K386" s="6">
        <v>2496</v>
      </c>
      <c r="L386" s="6">
        <v>1820.52</v>
      </c>
      <c r="M386" s="5">
        <v>675.48</v>
      </c>
      <c r="N386" s="5" t="s">
        <v>66</v>
      </c>
      <c r="O386" s="2"/>
      <c r="P386" s="2"/>
    </row>
    <row r="387" spans="1:16">
      <c r="A387" s="5" t="s">
        <v>698</v>
      </c>
      <c r="B387" s="8">
        <v>46129</v>
      </c>
      <c r="C387" s="14">
        <f t="shared" si="6"/>
        <v>46113</v>
      </c>
      <c r="D387" s="5" t="s">
        <v>234</v>
      </c>
      <c r="E387" s="5" t="s">
        <v>125</v>
      </c>
      <c r="F387" s="5" t="s">
        <v>5</v>
      </c>
      <c r="G387" s="5" t="s">
        <v>10</v>
      </c>
      <c r="H387" s="5">
        <v>2</v>
      </c>
      <c r="I387" s="6">
        <v>1810</v>
      </c>
      <c r="J387" s="7">
        <v>0.15</v>
      </c>
      <c r="K387" s="6">
        <v>3077</v>
      </c>
      <c r="L387" s="6">
        <v>2153.71</v>
      </c>
      <c r="M387" s="5">
        <v>923.29</v>
      </c>
      <c r="N387" s="5" t="s">
        <v>66</v>
      </c>
      <c r="O387" s="2"/>
      <c r="P387" s="2"/>
    </row>
    <row r="388" spans="1:16">
      <c r="A388" s="5" t="s">
        <v>699</v>
      </c>
      <c r="B388" s="8">
        <v>46129</v>
      </c>
      <c r="C388" s="14">
        <f t="shared" si="6"/>
        <v>46113</v>
      </c>
      <c r="D388" s="5" t="s">
        <v>402</v>
      </c>
      <c r="E388" s="5" t="s">
        <v>125</v>
      </c>
      <c r="F388" s="5" t="s">
        <v>5</v>
      </c>
      <c r="G388" s="5" t="s">
        <v>9</v>
      </c>
      <c r="H388" s="5">
        <v>5</v>
      </c>
      <c r="I388" s="6">
        <v>1760</v>
      </c>
      <c r="J388" s="7">
        <v>0.2</v>
      </c>
      <c r="K388" s="6">
        <v>7040</v>
      </c>
      <c r="L388" s="6">
        <v>5249.13</v>
      </c>
      <c r="M388" s="5">
        <v>1790.87</v>
      </c>
      <c r="N388" s="5" t="s">
        <v>66</v>
      </c>
      <c r="O388" s="2"/>
      <c r="P388" s="2"/>
    </row>
    <row r="389" spans="1:16">
      <c r="A389" s="5" t="s">
        <v>700</v>
      </c>
      <c r="B389" s="8">
        <v>46131</v>
      </c>
      <c r="C389" s="14">
        <f t="shared" si="6"/>
        <v>46113</v>
      </c>
      <c r="D389" s="5" t="s">
        <v>194</v>
      </c>
      <c r="E389" s="5" t="s">
        <v>83</v>
      </c>
      <c r="F389" s="5" t="s">
        <v>4</v>
      </c>
      <c r="G389" s="5" t="s">
        <v>11</v>
      </c>
      <c r="H389" s="5">
        <v>2</v>
      </c>
      <c r="I389" s="6">
        <v>1610</v>
      </c>
      <c r="J389" s="7">
        <v>0</v>
      </c>
      <c r="K389" s="6">
        <v>3220</v>
      </c>
      <c r="L389" s="6">
        <v>1801.81</v>
      </c>
      <c r="M389" s="5">
        <v>1418.19</v>
      </c>
      <c r="N389" s="5" t="s">
        <v>66</v>
      </c>
      <c r="O389" s="2"/>
      <c r="P389" s="2"/>
    </row>
    <row r="390" spans="1:16">
      <c r="A390" s="5" t="s">
        <v>701</v>
      </c>
      <c r="B390" s="8">
        <v>46131</v>
      </c>
      <c r="C390" s="14">
        <f t="shared" si="6"/>
        <v>46113</v>
      </c>
      <c r="D390" s="5" t="s">
        <v>165</v>
      </c>
      <c r="E390" s="5" t="s">
        <v>83</v>
      </c>
      <c r="F390" s="5" t="s">
        <v>4</v>
      </c>
      <c r="G390" s="5" t="s">
        <v>10</v>
      </c>
      <c r="H390" s="5">
        <v>1</v>
      </c>
      <c r="I390" s="6">
        <v>1580</v>
      </c>
      <c r="J390" s="7">
        <v>0.2</v>
      </c>
      <c r="K390" s="6">
        <v>1264</v>
      </c>
      <c r="L390" s="6">
        <v>902.69</v>
      </c>
      <c r="M390" s="5">
        <v>361.31</v>
      </c>
      <c r="N390" s="5" t="s">
        <v>64</v>
      </c>
      <c r="O390" s="2"/>
      <c r="P390" s="2"/>
    </row>
    <row r="391" spans="1:16">
      <c r="A391" s="5" t="s">
        <v>702</v>
      </c>
      <c r="B391" s="8">
        <v>46131</v>
      </c>
      <c r="C391" s="14">
        <f t="shared" si="6"/>
        <v>46113</v>
      </c>
      <c r="D391" s="5" t="s">
        <v>308</v>
      </c>
      <c r="E391" s="5" t="s">
        <v>221</v>
      </c>
      <c r="F391" s="5" t="s">
        <v>2</v>
      </c>
      <c r="G391" s="5" t="s">
        <v>11</v>
      </c>
      <c r="H391" s="5">
        <v>1</v>
      </c>
      <c r="I391" s="6">
        <v>1920</v>
      </c>
      <c r="J391" s="7">
        <v>0</v>
      </c>
      <c r="K391" s="6">
        <v>1920</v>
      </c>
      <c r="L391" s="6">
        <v>1069.33</v>
      </c>
      <c r="M391" s="5">
        <v>850.67</v>
      </c>
      <c r="N391" s="5" t="s">
        <v>63</v>
      </c>
      <c r="O391" s="2"/>
      <c r="P391" s="2"/>
    </row>
    <row r="392" spans="1:16">
      <c r="A392" s="5" t="s">
        <v>703</v>
      </c>
      <c r="B392" s="8">
        <v>46132</v>
      </c>
      <c r="C392" s="14">
        <f t="shared" si="6"/>
        <v>46113</v>
      </c>
      <c r="D392" s="5" t="s">
        <v>704</v>
      </c>
      <c r="E392" s="5" t="s">
        <v>15</v>
      </c>
      <c r="F392" s="5" t="s">
        <v>5</v>
      </c>
      <c r="G392" s="5" t="s">
        <v>9</v>
      </c>
      <c r="H392" s="5">
        <v>1</v>
      </c>
      <c r="I392" s="6">
        <v>3400</v>
      </c>
      <c r="J392" s="7">
        <v>0.1</v>
      </c>
      <c r="K392" s="6">
        <v>3060</v>
      </c>
      <c r="L392" s="6">
        <v>2157.2800000000002</v>
      </c>
      <c r="M392" s="5">
        <v>902.72</v>
      </c>
      <c r="N392" s="5" t="s">
        <v>63</v>
      </c>
      <c r="O392" s="2"/>
      <c r="P392" s="2"/>
    </row>
    <row r="393" spans="1:16">
      <c r="A393" s="5" t="s">
        <v>705</v>
      </c>
      <c r="B393" s="8">
        <v>46133</v>
      </c>
      <c r="C393" s="14">
        <f t="shared" si="6"/>
        <v>46113</v>
      </c>
      <c r="D393" s="5" t="s">
        <v>60</v>
      </c>
      <c r="E393" s="5" t="s">
        <v>14</v>
      </c>
      <c r="F393" s="5" t="s">
        <v>5</v>
      </c>
      <c r="G393" s="5" t="s">
        <v>9</v>
      </c>
      <c r="H393" s="5">
        <v>4</v>
      </c>
      <c r="I393" s="6">
        <v>5460</v>
      </c>
      <c r="J393" s="7">
        <v>0.1</v>
      </c>
      <c r="K393" s="6">
        <v>19656</v>
      </c>
      <c r="L393" s="6">
        <v>14517.66</v>
      </c>
      <c r="M393" s="5">
        <v>5138.34</v>
      </c>
      <c r="N393" s="5" t="s">
        <v>65</v>
      </c>
      <c r="O393" s="2"/>
      <c r="P393" s="2"/>
    </row>
    <row r="394" spans="1:16">
      <c r="A394" s="5" t="s">
        <v>706</v>
      </c>
      <c r="B394" s="8">
        <v>46134</v>
      </c>
      <c r="C394" s="14">
        <f t="shared" si="6"/>
        <v>46113</v>
      </c>
      <c r="D394" s="5" t="s">
        <v>376</v>
      </c>
      <c r="E394" s="5" t="s">
        <v>342</v>
      </c>
      <c r="F394" s="5" t="s">
        <v>2</v>
      </c>
      <c r="G394" s="5" t="s">
        <v>10</v>
      </c>
      <c r="H394" s="5">
        <v>3</v>
      </c>
      <c r="I394" s="6">
        <v>2760</v>
      </c>
      <c r="J394" s="7">
        <v>0.2</v>
      </c>
      <c r="K394" s="6">
        <v>6624</v>
      </c>
      <c r="L394" s="6">
        <v>4965.67</v>
      </c>
      <c r="M394" s="5">
        <v>1658.33</v>
      </c>
      <c r="N394" s="5" t="s">
        <v>62</v>
      </c>
      <c r="O394" s="2"/>
      <c r="P394" s="2"/>
    </row>
    <row r="395" spans="1:16">
      <c r="A395" s="5" t="s">
        <v>707</v>
      </c>
      <c r="B395" s="8">
        <v>46134</v>
      </c>
      <c r="C395" s="14">
        <f t="shared" si="6"/>
        <v>46113</v>
      </c>
      <c r="D395" s="5" t="s">
        <v>253</v>
      </c>
      <c r="E395" s="5" t="s">
        <v>95</v>
      </c>
      <c r="F395" s="5" t="s">
        <v>4</v>
      </c>
      <c r="G395" s="5" t="s">
        <v>10</v>
      </c>
      <c r="H395" s="5">
        <v>1</v>
      </c>
      <c r="I395" s="6">
        <v>1930</v>
      </c>
      <c r="J395" s="7">
        <v>0.1</v>
      </c>
      <c r="K395" s="6">
        <v>1737</v>
      </c>
      <c r="L395" s="6">
        <v>1115.8599999999999</v>
      </c>
      <c r="M395" s="5">
        <v>621.14</v>
      </c>
      <c r="N395" s="5" t="s">
        <v>63</v>
      </c>
      <c r="O395" s="2"/>
      <c r="P395" s="2"/>
    </row>
    <row r="396" spans="1:16">
      <c r="A396" s="5" t="s">
        <v>708</v>
      </c>
      <c r="B396" s="8">
        <v>46137</v>
      </c>
      <c r="C396" s="14">
        <f t="shared" si="6"/>
        <v>46113</v>
      </c>
      <c r="D396" s="5" t="s">
        <v>236</v>
      </c>
      <c r="E396" s="5" t="s">
        <v>95</v>
      </c>
      <c r="F396" s="5" t="s">
        <v>4</v>
      </c>
      <c r="G396" s="5" t="s">
        <v>9</v>
      </c>
      <c r="H396" s="5">
        <v>1</v>
      </c>
      <c r="I396" s="6">
        <v>1960</v>
      </c>
      <c r="J396" s="7">
        <v>0.2</v>
      </c>
      <c r="K396" s="6">
        <v>1568</v>
      </c>
      <c r="L396" s="6">
        <v>1123.81</v>
      </c>
      <c r="M396" s="5">
        <v>444.19</v>
      </c>
      <c r="N396" s="5" t="s">
        <v>63</v>
      </c>
      <c r="O396" s="2"/>
      <c r="P396" s="2"/>
    </row>
    <row r="397" spans="1:16">
      <c r="A397" s="5" t="s">
        <v>709</v>
      </c>
      <c r="B397" s="8">
        <v>46140</v>
      </c>
      <c r="C397" s="14">
        <f t="shared" si="6"/>
        <v>46113</v>
      </c>
      <c r="D397" s="5" t="s">
        <v>104</v>
      </c>
      <c r="E397" s="5" t="s">
        <v>90</v>
      </c>
      <c r="F397" s="5" t="s">
        <v>3</v>
      </c>
      <c r="G397" s="5" t="s">
        <v>11</v>
      </c>
      <c r="H397" s="5">
        <v>1</v>
      </c>
      <c r="I397" s="6">
        <v>1920</v>
      </c>
      <c r="J397" s="7">
        <v>0</v>
      </c>
      <c r="K397" s="6">
        <v>1920</v>
      </c>
      <c r="L397" s="6">
        <v>1173.73</v>
      </c>
      <c r="M397" s="5">
        <v>746.27</v>
      </c>
      <c r="N397" s="5" t="s">
        <v>66</v>
      </c>
      <c r="O397" s="2"/>
      <c r="P397" s="2"/>
    </row>
    <row r="398" spans="1:16">
      <c r="A398" s="5" t="s">
        <v>710</v>
      </c>
      <c r="B398" s="8">
        <v>46142</v>
      </c>
      <c r="C398" s="14">
        <f t="shared" si="6"/>
        <v>46113</v>
      </c>
      <c r="D398" s="5" t="s">
        <v>570</v>
      </c>
      <c r="E398" s="5" t="s">
        <v>90</v>
      </c>
      <c r="F398" s="5" t="s">
        <v>3</v>
      </c>
      <c r="G398" s="5" t="s">
        <v>10</v>
      </c>
      <c r="H398" s="5">
        <v>3</v>
      </c>
      <c r="I398" s="6">
        <v>2000</v>
      </c>
      <c r="J398" s="7">
        <v>0</v>
      </c>
      <c r="K398" s="6">
        <v>6000</v>
      </c>
      <c r="L398" s="6">
        <v>3542.37</v>
      </c>
      <c r="M398" s="5">
        <v>2457.63</v>
      </c>
      <c r="N398" s="5" t="s">
        <v>63</v>
      </c>
      <c r="O398" s="2"/>
      <c r="P398" s="2"/>
    </row>
    <row r="399" spans="1:16">
      <c r="A399" s="5" t="s">
        <v>711</v>
      </c>
      <c r="B399" s="8">
        <v>46143</v>
      </c>
      <c r="C399" s="14">
        <f t="shared" si="6"/>
        <v>46143</v>
      </c>
      <c r="D399" s="5" t="s">
        <v>712</v>
      </c>
      <c r="E399" s="5" t="s">
        <v>121</v>
      </c>
      <c r="F399" s="5" t="s">
        <v>3</v>
      </c>
      <c r="G399" s="5" t="s">
        <v>10</v>
      </c>
      <c r="H399" s="5">
        <v>1</v>
      </c>
      <c r="I399" s="6">
        <v>1320</v>
      </c>
      <c r="J399" s="7">
        <v>0.2</v>
      </c>
      <c r="K399" s="6">
        <v>1056</v>
      </c>
      <c r="L399" s="6">
        <v>744.14</v>
      </c>
      <c r="M399" s="5">
        <v>311.86</v>
      </c>
      <c r="N399" s="5" t="s">
        <v>66</v>
      </c>
      <c r="O399" s="2"/>
      <c r="P399" s="2"/>
    </row>
    <row r="400" spans="1:16">
      <c r="A400" s="5" t="s">
        <v>713</v>
      </c>
      <c r="B400" s="8">
        <v>46143</v>
      </c>
      <c r="C400" s="14">
        <f t="shared" si="6"/>
        <v>46143</v>
      </c>
      <c r="D400" s="5" t="s">
        <v>662</v>
      </c>
      <c r="E400" s="5" t="s">
        <v>121</v>
      </c>
      <c r="F400" s="5" t="s">
        <v>3</v>
      </c>
      <c r="G400" s="5" t="s">
        <v>11</v>
      </c>
      <c r="H400" s="5">
        <v>1</v>
      </c>
      <c r="I400" s="6">
        <v>1250</v>
      </c>
      <c r="J400" s="7">
        <v>0.1</v>
      </c>
      <c r="K400" s="6">
        <v>1125</v>
      </c>
      <c r="L400" s="6">
        <v>760.25</v>
      </c>
      <c r="M400" s="5">
        <v>364.75</v>
      </c>
      <c r="N400" s="5" t="s">
        <v>64</v>
      </c>
      <c r="O400" s="2"/>
      <c r="P400" s="2"/>
    </row>
    <row r="401" spans="1:16">
      <c r="A401" s="5" t="s">
        <v>714</v>
      </c>
      <c r="B401" s="8">
        <v>46143</v>
      </c>
      <c r="C401" s="14">
        <f t="shared" si="6"/>
        <v>46143</v>
      </c>
      <c r="D401" s="5" t="s">
        <v>559</v>
      </c>
      <c r="E401" s="5" t="s">
        <v>121</v>
      </c>
      <c r="F401" s="5" t="s">
        <v>3</v>
      </c>
      <c r="G401" s="5" t="s">
        <v>9</v>
      </c>
      <c r="H401" s="5">
        <v>1</v>
      </c>
      <c r="I401" s="6">
        <v>1270</v>
      </c>
      <c r="J401" s="7">
        <v>0</v>
      </c>
      <c r="K401" s="6">
        <v>1270</v>
      </c>
      <c r="L401" s="6">
        <v>777.12</v>
      </c>
      <c r="M401" s="5">
        <v>492.88</v>
      </c>
      <c r="N401" s="5" t="s">
        <v>66</v>
      </c>
      <c r="O401" s="2"/>
      <c r="P401" s="2"/>
    </row>
    <row r="402" spans="1:16">
      <c r="A402" s="5" t="s">
        <v>715</v>
      </c>
      <c r="B402" s="8">
        <v>46144</v>
      </c>
      <c r="C402" s="14">
        <f t="shared" si="6"/>
        <v>46143</v>
      </c>
      <c r="D402" s="5" t="s">
        <v>716</v>
      </c>
      <c r="E402" s="5" t="s">
        <v>100</v>
      </c>
      <c r="F402" s="5" t="s">
        <v>4</v>
      </c>
      <c r="G402" s="5" t="s">
        <v>11</v>
      </c>
      <c r="H402" s="5">
        <v>1</v>
      </c>
      <c r="I402" s="6">
        <v>1530</v>
      </c>
      <c r="J402" s="7">
        <v>0</v>
      </c>
      <c r="K402" s="6">
        <v>1530</v>
      </c>
      <c r="L402" s="6">
        <v>859.05</v>
      </c>
      <c r="M402" s="5">
        <v>670.95</v>
      </c>
      <c r="N402" s="5" t="s">
        <v>66</v>
      </c>
      <c r="O402" s="2"/>
      <c r="P402" s="2"/>
    </row>
    <row r="403" spans="1:16">
      <c r="A403" s="5" t="s">
        <v>717</v>
      </c>
      <c r="B403" s="8">
        <v>46145</v>
      </c>
      <c r="C403" s="14">
        <f t="shared" si="6"/>
        <v>46143</v>
      </c>
      <c r="D403" s="5" t="s">
        <v>376</v>
      </c>
      <c r="E403" s="5" t="s">
        <v>83</v>
      </c>
      <c r="F403" s="5" t="s">
        <v>4</v>
      </c>
      <c r="G403" s="5" t="s">
        <v>10</v>
      </c>
      <c r="H403" s="5">
        <v>1</v>
      </c>
      <c r="I403" s="6">
        <v>1610</v>
      </c>
      <c r="J403" s="7">
        <v>0.1</v>
      </c>
      <c r="K403" s="6">
        <v>1449</v>
      </c>
      <c r="L403" s="6">
        <v>899.44</v>
      </c>
      <c r="M403" s="5">
        <v>549.55999999999995</v>
      </c>
      <c r="N403" s="5" t="s">
        <v>65</v>
      </c>
      <c r="O403" s="2"/>
      <c r="P403" s="2"/>
    </row>
    <row r="404" spans="1:16">
      <c r="A404" s="5" t="s">
        <v>718</v>
      </c>
      <c r="B404" s="8">
        <v>46147</v>
      </c>
      <c r="C404" s="14">
        <f t="shared" si="6"/>
        <v>46143</v>
      </c>
      <c r="D404" s="5" t="s">
        <v>353</v>
      </c>
      <c r="E404" s="5" t="s">
        <v>121</v>
      </c>
      <c r="F404" s="5" t="s">
        <v>3</v>
      </c>
      <c r="G404" s="5" t="s">
        <v>10</v>
      </c>
      <c r="H404" s="5">
        <v>2</v>
      </c>
      <c r="I404" s="6">
        <v>1270</v>
      </c>
      <c r="J404" s="7">
        <v>0.25</v>
      </c>
      <c r="K404" s="6">
        <v>1905</v>
      </c>
      <c r="L404" s="6">
        <v>1511.24</v>
      </c>
      <c r="M404" s="5">
        <v>393.76</v>
      </c>
      <c r="N404" s="5" t="s">
        <v>64</v>
      </c>
      <c r="O404" s="2"/>
      <c r="P404" s="2"/>
    </row>
    <row r="405" spans="1:16">
      <c r="A405" s="5" t="s">
        <v>719</v>
      </c>
      <c r="B405" s="8">
        <v>46147</v>
      </c>
      <c r="C405" s="14">
        <f t="shared" si="6"/>
        <v>46143</v>
      </c>
      <c r="D405" s="5" t="s">
        <v>362</v>
      </c>
      <c r="E405" s="5" t="s">
        <v>130</v>
      </c>
      <c r="F405" s="5" t="s">
        <v>5</v>
      </c>
      <c r="G405" s="5" t="s">
        <v>9</v>
      </c>
      <c r="H405" s="5">
        <v>1</v>
      </c>
      <c r="I405" s="6">
        <v>3050</v>
      </c>
      <c r="J405" s="7">
        <v>0.1</v>
      </c>
      <c r="K405" s="6">
        <v>2745</v>
      </c>
      <c r="L405" s="6">
        <v>1958.69</v>
      </c>
      <c r="M405" s="5">
        <v>786.31</v>
      </c>
      <c r="N405" s="5" t="s">
        <v>66</v>
      </c>
      <c r="O405" s="2"/>
      <c r="P405" s="2"/>
    </row>
    <row r="406" spans="1:16">
      <c r="A406" s="5" t="s">
        <v>720</v>
      </c>
      <c r="B406" s="8">
        <v>46151</v>
      </c>
      <c r="C406" s="14">
        <f t="shared" si="6"/>
        <v>46143</v>
      </c>
      <c r="D406" s="5" t="s">
        <v>550</v>
      </c>
      <c r="E406" s="5" t="s">
        <v>149</v>
      </c>
      <c r="F406" s="5" t="s">
        <v>2</v>
      </c>
      <c r="G406" s="5" t="s">
        <v>8</v>
      </c>
      <c r="H406" s="5">
        <v>1</v>
      </c>
      <c r="I406" s="6">
        <v>2280</v>
      </c>
      <c r="J406" s="7">
        <v>0.1</v>
      </c>
      <c r="K406" s="6">
        <v>2052</v>
      </c>
      <c r="L406" s="6">
        <v>1293.06</v>
      </c>
      <c r="M406" s="5">
        <v>758.94</v>
      </c>
      <c r="N406" s="5" t="s">
        <v>66</v>
      </c>
      <c r="O406" s="2"/>
      <c r="P406" s="2"/>
    </row>
    <row r="407" spans="1:16">
      <c r="A407" s="5" t="s">
        <v>721</v>
      </c>
      <c r="B407" s="8">
        <v>46151</v>
      </c>
      <c r="C407" s="14">
        <f t="shared" si="6"/>
        <v>46143</v>
      </c>
      <c r="D407" s="5" t="s">
        <v>722</v>
      </c>
      <c r="E407" s="5" t="s">
        <v>342</v>
      </c>
      <c r="F407" s="5" t="s">
        <v>2</v>
      </c>
      <c r="G407" s="5" t="s">
        <v>10</v>
      </c>
      <c r="H407" s="5">
        <v>2</v>
      </c>
      <c r="I407" s="6">
        <v>2740</v>
      </c>
      <c r="J407" s="7">
        <v>0.1</v>
      </c>
      <c r="K407" s="6">
        <v>4932</v>
      </c>
      <c r="L407" s="6">
        <v>3309.4</v>
      </c>
      <c r="M407" s="5">
        <v>1622.6</v>
      </c>
      <c r="N407" s="5" t="s">
        <v>64</v>
      </c>
      <c r="O407" s="2"/>
      <c r="P407" s="2"/>
    </row>
    <row r="408" spans="1:16">
      <c r="A408" s="5" t="s">
        <v>723</v>
      </c>
      <c r="B408" s="8">
        <v>46152</v>
      </c>
      <c r="C408" s="14">
        <f t="shared" si="6"/>
        <v>46143</v>
      </c>
      <c r="D408" s="5" t="s">
        <v>345</v>
      </c>
      <c r="E408" s="5" t="s">
        <v>90</v>
      </c>
      <c r="F408" s="5" t="s">
        <v>3</v>
      </c>
      <c r="G408" s="5" t="s">
        <v>10</v>
      </c>
      <c r="H408" s="5">
        <v>1</v>
      </c>
      <c r="I408" s="6">
        <v>1950</v>
      </c>
      <c r="J408" s="7">
        <v>0.1</v>
      </c>
      <c r="K408" s="6">
        <v>1755</v>
      </c>
      <c r="L408" s="6">
        <v>1235.24</v>
      </c>
      <c r="M408" s="5">
        <v>519.76</v>
      </c>
      <c r="N408" s="5" t="s">
        <v>66</v>
      </c>
      <c r="O408" s="2"/>
      <c r="P408" s="2"/>
    </row>
    <row r="409" spans="1:16">
      <c r="A409" s="5" t="s">
        <v>724</v>
      </c>
      <c r="B409" s="8">
        <v>46155</v>
      </c>
      <c r="C409" s="14">
        <f t="shared" si="6"/>
        <v>46143</v>
      </c>
      <c r="D409" s="5" t="s">
        <v>435</v>
      </c>
      <c r="E409" s="5" t="s">
        <v>121</v>
      </c>
      <c r="F409" s="5" t="s">
        <v>3</v>
      </c>
      <c r="G409" s="5" t="s">
        <v>11</v>
      </c>
      <c r="H409" s="5">
        <v>3</v>
      </c>
      <c r="I409" s="6">
        <v>1290</v>
      </c>
      <c r="J409" s="7">
        <v>0</v>
      </c>
      <c r="K409" s="6">
        <v>3870</v>
      </c>
      <c r="L409" s="6">
        <v>2283.0700000000002</v>
      </c>
      <c r="M409" s="5">
        <v>1586.93</v>
      </c>
      <c r="N409" s="5" t="s">
        <v>64</v>
      </c>
      <c r="O409" s="2"/>
      <c r="P409" s="2"/>
    </row>
    <row r="410" spans="1:16">
      <c r="A410" s="5" t="s">
        <v>725</v>
      </c>
      <c r="B410" s="8">
        <v>46156</v>
      </c>
      <c r="C410" s="14">
        <f t="shared" si="6"/>
        <v>46143</v>
      </c>
      <c r="D410" s="5" t="s">
        <v>726</v>
      </c>
      <c r="E410" s="5" t="s">
        <v>125</v>
      </c>
      <c r="F410" s="5" t="s">
        <v>5</v>
      </c>
      <c r="G410" s="5" t="s">
        <v>10</v>
      </c>
      <c r="H410" s="5">
        <v>1</v>
      </c>
      <c r="I410" s="6">
        <v>1800</v>
      </c>
      <c r="J410" s="7">
        <v>0.05</v>
      </c>
      <c r="K410" s="6">
        <v>1710</v>
      </c>
      <c r="L410" s="6">
        <v>1056.79</v>
      </c>
      <c r="M410" s="5">
        <v>653.21</v>
      </c>
      <c r="N410" s="5" t="s">
        <v>66</v>
      </c>
      <c r="O410" s="2"/>
      <c r="P410" s="2"/>
    </row>
    <row r="411" spans="1:16">
      <c r="A411" s="5" t="s">
        <v>727</v>
      </c>
      <c r="B411" s="8">
        <v>46157</v>
      </c>
      <c r="C411" s="14">
        <f t="shared" si="6"/>
        <v>46143</v>
      </c>
      <c r="D411" s="5" t="s">
        <v>87</v>
      </c>
      <c r="E411" s="5" t="s">
        <v>14</v>
      </c>
      <c r="F411" s="5" t="s">
        <v>5</v>
      </c>
      <c r="G411" s="5" t="s">
        <v>8</v>
      </c>
      <c r="H411" s="5">
        <v>1</v>
      </c>
      <c r="I411" s="6">
        <v>5710</v>
      </c>
      <c r="J411" s="7">
        <v>0.1</v>
      </c>
      <c r="K411" s="6">
        <v>5139</v>
      </c>
      <c r="L411" s="6">
        <v>3593.75</v>
      </c>
      <c r="M411" s="5">
        <v>1545.25</v>
      </c>
      <c r="N411" s="5" t="s">
        <v>64</v>
      </c>
      <c r="O411" s="2"/>
      <c r="P411" s="2"/>
    </row>
    <row r="412" spans="1:16">
      <c r="A412" s="5" t="s">
        <v>728</v>
      </c>
      <c r="B412" s="8">
        <v>46157</v>
      </c>
      <c r="C412" s="14">
        <f t="shared" si="6"/>
        <v>46143</v>
      </c>
      <c r="D412" s="5" t="s">
        <v>729</v>
      </c>
      <c r="E412" s="5" t="s">
        <v>90</v>
      </c>
      <c r="F412" s="5" t="s">
        <v>3</v>
      </c>
      <c r="G412" s="5" t="s">
        <v>10</v>
      </c>
      <c r="H412" s="5">
        <v>3</v>
      </c>
      <c r="I412" s="6">
        <v>2000</v>
      </c>
      <c r="J412" s="7">
        <v>0.25</v>
      </c>
      <c r="K412" s="6">
        <v>4500</v>
      </c>
      <c r="L412" s="6">
        <v>3606.97</v>
      </c>
      <c r="M412" s="5">
        <v>893.03</v>
      </c>
      <c r="N412" s="5" t="s">
        <v>65</v>
      </c>
      <c r="O412" s="2"/>
      <c r="P412" s="2"/>
    </row>
    <row r="413" spans="1:16">
      <c r="A413" s="5" t="s">
        <v>730</v>
      </c>
      <c r="B413" s="8">
        <v>46160</v>
      </c>
      <c r="C413" s="14">
        <f t="shared" si="6"/>
        <v>46143</v>
      </c>
      <c r="D413" s="5" t="s">
        <v>57</v>
      </c>
      <c r="E413" s="5" t="s">
        <v>16</v>
      </c>
      <c r="F413" s="5" t="s">
        <v>3</v>
      </c>
      <c r="G413" s="5" t="s">
        <v>11</v>
      </c>
      <c r="H413" s="5">
        <v>1</v>
      </c>
      <c r="I413" s="6">
        <v>3860</v>
      </c>
      <c r="J413" s="7">
        <v>0.15</v>
      </c>
      <c r="K413" s="6">
        <v>3281</v>
      </c>
      <c r="L413" s="6">
        <v>2551.35</v>
      </c>
      <c r="M413" s="5">
        <v>729.65</v>
      </c>
      <c r="N413" s="5" t="s">
        <v>62</v>
      </c>
      <c r="O413" s="2"/>
      <c r="P413" s="2"/>
    </row>
    <row r="414" spans="1:16">
      <c r="A414" s="5" t="s">
        <v>731</v>
      </c>
      <c r="B414" s="8">
        <v>46160</v>
      </c>
      <c r="C414" s="14">
        <f t="shared" si="6"/>
        <v>46143</v>
      </c>
      <c r="D414" s="5" t="s">
        <v>732</v>
      </c>
      <c r="E414" s="5" t="s">
        <v>130</v>
      </c>
      <c r="F414" s="5" t="s">
        <v>5</v>
      </c>
      <c r="G414" s="5" t="s">
        <v>8</v>
      </c>
      <c r="H414" s="5">
        <v>4</v>
      </c>
      <c r="I414" s="6">
        <v>2930</v>
      </c>
      <c r="J414" s="7">
        <v>0.05</v>
      </c>
      <c r="K414" s="6">
        <v>11134</v>
      </c>
      <c r="L414" s="6">
        <v>7795.04</v>
      </c>
      <c r="M414" s="5">
        <v>3338.96</v>
      </c>
      <c r="N414" s="5" t="s">
        <v>65</v>
      </c>
      <c r="O414" s="2"/>
      <c r="P414" s="2"/>
    </row>
    <row r="415" spans="1:16">
      <c r="A415" s="5" t="s">
        <v>733</v>
      </c>
      <c r="B415" s="8">
        <v>46161</v>
      </c>
      <c r="C415" s="14">
        <f t="shared" si="6"/>
        <v>46143</v>
      </c>
      <c r="D415" s="5" t="s">
        <v>446</v>
      </c>
      <c r="E415" s="5" t="s">
        <v>149</v>
      </c>
      <c r="F415" s="5" t="s">
        <v>2</v>
      </c>
      <c r="G415" s="5" t="s">
        <v>10</v>
      </c>
      <c r="H415" s="5">
        <v>3</v>
      </c>
      <c r="I415" s="6">
        <v>2300</v>
      </c>
      <c r="J415" s="7">
        <v>0.15</v>
      </c>
      <c r="K415" s="6">
        <v>5865</v>
      </c>
      <c r="L415" s="6">
        <v>3799.02</v>
      </c>
      <c r="M415" s="5">
        <v>2065.98</v>
      </c>
      <c r="N415" s="5" t="s">
        <v>64</v>
      </c>
      <c r="O415" s="2"/>
      <c r="P415" s="2"/>
    </row>
    <row r="416" spans="1:16">
      <c r="A416" s="5" t="s">
        <v>734</v>
      </c>
      <c r="B416" s="8">
        <v>46161</v>
      </c>
      <c r="C416" s="14">
        <f t="shared" si="6"/>
        <v>46143</v>
      </c>
      <c r="D416" s="5" t="s">
        <v>232</v>
      </c>
      <c r="E416" s="5" t="s">
        <v>121</v>
      </c>
      <c r="F416" s="5" t="s">
        <v>3</v>
      </c>
      <c r="G416" s="5" t="s">
        <v>9</v>
      </c>
      <c r="H416" s="5">
        <v>1</v>
      </c>
      <c r="I416" s="6">
        <v>1270</v>
      </c>
      <c r="J416" s="7">
        <v>0.15</v>
      </c>
      <c r="K416" s="6">
        <v>1079.5</v>
      </c>
      <c r="L416" s="6">
        <v>782.36</v>
      </c>
      <c r="M416" s="5">
        <v>297.14</v>
      </c>
      <c r="N416" s="5" t="s">
        <v>65</v>
      </c>
      <c r="O416" s="2"/>
      <c r="P416" s="2"/>
    </row>
    <row r="417" spans="1:16">
      <c r="A417" s="5" t="s">
        <v>735</v>
      </c>
      <c r="B417" s="8">
        <v>46162</v>
      </c>
      <c r="C417" s="14">
        <f t="shared" si="6"/>
        <v>46143</v>
      </c>
      <c r="D417" s="5" t="s">
        <v>405</v>
      </c>
      <c r="E417" s="5" t="s">
        <v>125</v>
      </c>
      <c r="F417" s="5" t="s">
        <v>5</v>
      </c>
      <c r="G417" s="5" t="s">
        <v>10</v>
      </c>
      <c r="H417" s="5">
        <v>1</v>
      </c>
      <c r="I417" s="6">
        <v>1860</v>
      </c>
      <c r="J417" s="7">
        <v>0</v>
      </c>
      <c r="K417" s="6">
        <v>1860</v>
      </c>
      <c r="L417" s="6">
        <v>1079.33</v>
      </c>
      <c r="M417" s="5">
        <v>780.67</v>
      </c>
      <c r="N417" s="5" t="s">
        <v>63</v>
      </c>
      <c r="O417" s="2"/>
      <c r="P417" s="2"/>
    </row>
    <row r="418" spans="1:16">
      <c r="A418" s="5" t="s">
        <v>736</v>
      </c>
      <c r="B418" s="8">
        <v>46162</v>
      </c>
      <c r="C418" s="14">
        <f t="shared" si="6"/>
        <v>46143</v>
      </c>
      <c r="D418" s="5" t="s">
        <v>737</v>
      </c>
      <c r="E418" s="5" t="s">
        <v>125</v>
      </c>
      <c r="F418" s="5" t="s">
        <v>5</v>
      </c>
      <c r="G418" s="5" t="s">
        <v>10</v>
      </c>
      <c r="H418" s="5">
        <v>3</v>
      </c>
      <c r="I418" s="6">
        <v>1740</v>
      </c>
      <c r="J418" s="7">
        <v>0.1</v>
      </c>
      <c r="K418" s="6">
        <v>4698</v>
      </c>
      <c r="L418" s="6">
        <v>3158.04</v>
      </c>
      <c r="M418" s="5">
        <v>1539.96</v>
      </c>
      <c r="N418" s="5" t="s">
        <v>63</v>
      </c>
      <c r="O418" s="2"/>
      <c r="P418" s="2"/>
    </row>
    <row r="419" spans="1:16">
      <c r="A419" s="5" t="s">
        <v>738</v>
      </c>
      <c r="B419" s="8">
        <v>46164</v>
      </c>
      <c r="C419" s="14">
        <f t="shared" si="6"/>
        <v>46143</v>
      </c>
      <c r="D419" s="5" t="s">
        <v>282</v>
      </c>
      <c r="E419" s="5" t="s">
        <v>149</v>
      </c>
      <c r="F419" s="5" t="s">
        <v>2</v>
      </c>
      <c r="G419" s="5" t="s">
        <v>11</v>
      </c>
      <c r="H419" s="5">
        <v>3</v>
      </c>
      <c r="I419" s="6">
        <v>2220</v>
      </c>
      <c r="J419" s="7">
        <v>0</v>
      </c>
      <c r="K419" s="6">
        <v>6660</v>
      </c>
      <c r="L419" s="6">
        <v>3953.4</v>
      </c>
      <c r="M419" s="5">
        <v>2706.6</v>
      </c>
      <c r="N419" s="5" t="s">
        <v>66</v>
      </c>
      <c r="O419" s="2"/>
      <c r="P419" s="2"/>
    </row>
    <row r="420" spans="1:16">
      <c r="A420" s="5" t="s">
        <v>739</v>
      </c>
      <c r="B420" s="8">
        <v>46165</v>
      </c>
      <c r="C420" s="14">
        <f t="shared" si="6"/>
        <v>46143</v>
      </c>
      <c r="D420" s="5" t="s">
        <v>614</v>
      </c>
      <c r="E420" s="5" t="s">
        <v>342</v>
      </c>
      <c r="F420" s="5" t="s">
        <v>2</v>
      </c>
      <c r="G420" s="5" t="s">
        <v>9</v>
      </c>
      <c r="H420" s="5">
        <v>1</v>
      </c>
      <c r="I420" s="6">
        <v>2830</v>
      </c>
      <c r="J420" s="7">
        <v>0.15</v>
      </c>
      <c r="K420" s="6">
        <v>2405.5</v>
      </c>
      <c r="L420" s="6">
        <v>1675.97</v>
      </c>
      <c r="M420" s="5">
        <v>729.53</v>
      </c>
      <c r="N420" s="5" t="s">
        <v>66</v>
      </c>
      <c r="O420" s="2"/>
      <c r="P420" s="2"/>
    </row>
    <row r="421" spans="1:16">
      <c r="A421" s="5" t="s">
        <v>740</v>
      </c>
      <c r="B421" s="8">
        <v>46165</v>
      </c>
      <c r="C421" s="14">
        <f t="shared" si="6"/>
        <v>46143</v>
      </c>
      <c r="D421" s="5" t="s">
        <v>534</v>
      </c>
      <c r="E421" s="5" t="s">
        <v>14</v>
      </c>
      <c r="F421" s="5" t="s">
        <v>5</v>
      </c>
      <c r="G421" s="5" t="s">
        <v>10</v>
      </c>
      <c r="H421" s="5">
        <v>2</v>
      </c>
      <c r="I421" s="6">
        <v>5310</v>
      </c>
      <c r="J421" s="7">
        <v>0</v>
      </c>
      <c r="K421" s="6">
        <v>10620</v>
      </c>
      <c r="L421" s="6">
        <v>7342.44</v>
      </c>
      <c r="M421" s="5">
        <v>3277.56</v>
      </c>
      <c r="N421" s="5" t="s">
        <v>63</v>
      </c>
      <c r="O421" s="2"/>
      <c r="P421" s="2"/>
    </row>
    <row r="422" spans="1:16">
      <c r="A422" s="5" t="s">
        <v>741</v>
      </c>
      <c r="B422" s="8">
        <v>46165</v>
      </c>
      <c r="C422" s="14">
        <f t="shared" si="6"/>
        <v>46143</v>
      </c>
      <c r="D422" s="5" t="s">
        <v>319</v>
      </c>
      <c r="E422" s="5" t="s">
        <v>121</v>
      </c>
      <c r="F422" s="5" t="s">
        <v>3</v>
      </c>
      <c r="G422" s="5" t="s">
        <v>8</v>
      </c>
      <c r="H422" s="5">
        <v>3</v>
      </c>
      <c r="I422" s="6">
        <v>1310</v>
      </c>
      <c r="J422" s="7">
        <v>0.05</v>
      </c>
      <c r="K422" s="6">
        <v>3733.5</v>
      </c>
      <c r="L422" s="6">
        <v>2283.2399999999998</v>
      </c>
      <c r="M422" s="5">
        <v>1450.26</v>
      </c>
      <c r="N422" s="5" t="s">
        <v>63</v>
      </c>
      <c r="O422" s="2"/>
      <c r="P422" s="2"/>
    </row>
    <row r="423" spans="1:16">
      <c r="A423" s="5" t="s">
        <v>742</v>
      </c>
      <c r="B423" s="8">
        <v>46168</v>
      </c>
      <c r="C423" s="14">
        <f t="shared" si="6"/>
        <v>46143</v>
      </c>
      <c r="D423" s="5" t="s">
        <v>264</v>
      </c>
      <c r="E423" s="5" t="s">
        <v>95</v>
      </c>
      <c r="F423" s="5" t="s">
        <v>4</v>
      </c>
      <c r="G423" s="5" t="s">
        <v>10</v>
      </c>
      <c r="H423" s="5">
        <v>1</v>
      </c>
      <c r="I423" s="6">
        <v>1930</v>
      </c>
      <c r="J423" s="7">
        <v>0.05</v>
      </c>
      <c r="K423" s="6">
        <v>1833.5</v>
      </c>
      <c r="L423" s="6">
        <v>1156.27</v>
      </c>
      <c r="M423" s="5">
        <v>677.23</v>
      </c>
      <c r="N423" s="5" t="s">
        <v>62</v>
      </c>
      <c r="O423" s="2"/>
      <c r="P423" s="2"/>
    </row>
    <row r="424" spans="1:16">
      <c r="A424" s="5" t="s">
        <v>743</v>
      </c>
      <c r="B424" s="8">
        <v>46168</v>
      </c>
      <c r="C424" s="14">
        <f t="shared" si="6"/>
        <v>46143</v>
      </c>
      <c r="D424" s="5" t="s">
        <v>744</v>
      </c>
      <c r="E424" s="5" t="s">
        <v>149</v>
      </c>
      <c r="F424" s="5" t="s">
        <v>2</v>
      </c>
      <c r="G424" s="5" t="s">
        <v>8</v>
      </c>
      <c r="H424" s="5">
        <v>1</v>
      </c>
      <c r="I424" s="6">
        <v>2300</v>
      </c>
      <c r="J424" s="7">
        <v>0.15</v>
      </c>
      <c r="K424" s="6">
        <v>1955</v>
      </c>
      <c r="L424" s="6">
        <v>1290.48</v>
      </c>
      <c r="M424" s="5">
        <v>664.52</v>
      </c>
      <c r="N424" s="5" t="s">
        <v>63</v>
      </c>
      <c r="O424" s="2"/>
      <c r="P424" s="2"/>
    </row>
    <row r="425" spans="1:16">
      <c r="A425" s="5" t="s">
        <v>745</v>
      </c>
      <c r="B425" s="8">
        <v>46168</v>
      </c>
      <c r="C425" s="14">
        <f t="shared" si="6"/>
        <v>46143</v>
      </c>
      <c r="D425" s="5" t="s">
        <v>257</v>
      </c>
      <c r="E425" s="5" t="s">
        <v>16</v>
      </c>
      <c r="F425" s="5" t="s">
        <v>3</v>
      </c>
      <c r="G425" s="5" t="s">
        <v>11</v>
      </c>
      <c r="H425" s="5">
        <v>3</v>
      </c>
      <c r="I425" s="6">
        <v>4100</v>
      </c>
      <c r="J425" s="7">
        <v>0.1</v>
      </c>
      <c r="K425" s="6">
        <v>11070</v>
      </c>
      <c r="L425" s="6">
        <v>7351.82</v>
      </c>
      <c r="M425" s="5">
        <v>3718.18</v>
      </c>
      <c r="N425" s="5" t="s">
        <v>65</v>
      </c>
      <c r="O425" s="2"/>
      <c r="P425" s="2"/>
    </row>
    <row r="426" spans="1:16">
      <c r="A426" s="5" t="s">
        <v>746</v>
      </c>
      <c r="B426" s="8">
        <v>46169</v>
      </c>
      <c r="C426" s="14">
        <f t="shared" si="6"/>
        <v>46143</v>
      </c>
      <c r="D426" s="5" t="s">
        <v>729</v>
      </c>
      <c r="E426" s="5" t="s">
        <v>17</v>
      </c>
      <c r="F426" s="5" t="s">
        <v>4</v>
      </c>
      <c r="G426" s="5" t="s">
        <v>11</v>
      </c>
      <c r="H426" s="5">
        <v>4</v>
      </c>
      <c r="I426" s="6">
        <v>3020</v>
      </c>
      <c r="J426" s="7">
        <v>0</v>
      </c>
      <c r="K426" s="6">
        <v>12080</v>
      </c>
      <c r="L426" s="6">
        <v>7372.68</v>
      </c>
      <c r="M426" s="5">
        <v>4707.32</v>
      </c>
      <c r="N426" s="5" t="s">
        <v>66</v>
      </c>
      <c r="O426" s="2"/>
      <c r="P426" s="2"/>
    </row>
    <row r="427" spans="1:16">
      <c r="A427" s="5" t="s">
        <v>747</v>
      </c>
      <c r="B427" s="8">
        <v>46170</v>
      </c>
      <c r="C427" s="14">
        <f t="shared" si="6"/>
        <v>46143</v>
      </c>
      <c r="D427" s="5" t="s">
        <v>464</v>
      </c>
      <c r="E427" s="5" t="s">
        <v>18</v>
      </c>
      <c r="F427" s="5" t="s">
        <v>3</v>
      </c>
      <c r="G427" s="5" t="s">
        <v>11</v>
      </c>
      <c r="H427" s="5">
        <v>4</v>
      </c>
      <c r="I427" s="6">
        <v>2470</v>
      </c>
      <c r="J427" s="7">
        <v>0</v>
      </c>
      <c r="K427" s="6">
        <v>9880</v>
      </c>
      <c r="L427" s="6">
        <v>6133.63</v>
      </c>
      <c r="M427" s="5">
        <v>3746.37</v>
      </c>
      <c r="N427" s="5" t="s">
        <v>66</v>
      </c>
      <c r="O427" s="2"/>
      <c r="P427" s="2"/>
    </row>
    <row r="428" spans="1:16">
      <c r="A428" s="5" t="s">
        <v>748</v>
      </c>
      <c r="B428" s="8">
        <v>46170</v>
      </c>
      <c r="C428" s="14">
        <f t="shared" si="6"/>
        <v>46143</v>
      </c>
      <c r="D428" s="5" t="s">
        <v>749</v>
      </c>
      <c r="E428" s="5" t="s">
        <v>125</v>
      </c>
      <c r="F428" s="5" t="s">
        <v>5</v>
      </c>
      <c r="G428" s="5" t="s">
        <v>10</v>
      </c>
      <c r="H428" s="5">
        <v>1</v>
      </c>
      <c r="I428" s="6">
        <v>1830</v>
      </c>
      <c r="J428" s="7">
        <v>0.1</v>
      </c>
      <c r="K428" s="6">
        <v>1647</v>
      </c>
      <c r="L428" s="6">
        <v>1032.04</v>
      </c>
      <c r="M428" s="5">
        <v>614.96</v>
      </c>
      <c r="N428" s="5" t="s">
        <v>64</v>
      </c>
      <c r="O428" s="2"/>
      <c r="P428" s="2"/>
    </row>
    <row r="429" spans="1:16">
      <c r="A429" s="5" t="s">
        <v>750</v>
      </c>
      <c r="B429" s="8">
        <v>46173</v>
      </c>
      <c r="C429" s="14">
        <f t="shared" si="6"/>
        <v>46143</v>
      </c>
      <c r="D429" s="5" t="s">
        <v>697</v>
      </c>
      <c r="E429" s="5" t="s">
        <v>14</v>
      </c>
      <c r="F429" s="5" t="s">
        <v>5</v>
      </c>
      <c r="G429" s="5" t="s">
        <v>9</v>
      </c>
      <c r="H429" s="5">
        <v>2</v>
      </c>
      <c r="I429" s="6">
        <v>5550</v>
      </c>
      <c r="J429" s="7">
        <v>0.2</v>
      </c>
      <c r="K429" s="6">
        <v>8880</v>
      </c>
      <c r="L429" s="6">
        <v>7084.64</v>
      </c>
      <c r="M429" s="5">
        <v>1795.36</v>
      </c>
      <c r="N429" s="5" t="s">
        <v>66</v>
      </c>
      <c r="O429" s="2"/>
      <c r="P429" s="2"/>
    </row>
    <row r="430" spans="1:16">
      <c r="A430" s="5" t="s">
        <v>751</v>
      </c>
      <c r="B430" s="8">
        <v>46173</v>
      </c>
      <c r="C430" s="14">
        <f t="shared" si="6"/>
        <v>46143</v>
      </c>
      <c r="D430" s="5" t="s">
        <v>236</v>
      </c>
      <c r="E430" s="5" t="s">
        <v>15</v>
      </c>
      <c r="F430" s="5" t="s">
        <v>5</v>
      </c>
      <c r="G430" s="5" t="s">
        <v>8</v>
      </c>
      <c r="H430" s="5">
        <v>3</v>
      </c>
      <c r="I430" s="6">
        <v>3510</v>
      </c>
      <c r="J430" s="7">
        <v>0.25</v>
      </c>
      <c r="K430" s="6">
        <v>7897.5</v>
      </c>
      <c r="L430" s="6">
        <v>6783.26</v>
      </c>
      <c r="M430" s="5">
        <v>1114.24</v>
      </c>
      <c r="N430" s="5" t="s">
        <v>65</v>
      </c>
      <c r="O430" s="2"/>
      <c r="P430" s="2"/>
    </row>
    <row r="431" spans="1:16">
      <c r="A431" s="5" t="s">
        <v>752</v>
      </c>
      <c r="B431" s="8">
        <v>46174</v>
      </c>
      <c r="C431" s="14">
        <f t="shared" si="6"/>
        <v>46174</v>
      </c>
      <c r="D431" s="5" t="s">
        <v>262</v>
      </c>
      <c r="E431" s="5" t="s">
        <v>83</v>
      </c>
      <c r="F431" s="5" t="s">
        <v>4</v>
      </c>
      <c r="G431" s="5" t="s">
        <v>8</v>
      </c>
      <c r="H431" s="5">
        <v>3</v>
      </c>
      <c r="I431" s="6">
        <v>1640</v>
      </c>
      <c r="J431" s="7">
        <v>0</v>
      </c>
      <c r="K431" s="6">
        <v>4920</v>
      </c>
      <c r="L431" s="6">
        <v>2639.65</v>
      </c>
      <c r="M431" s="5">
        <v>2280.35</v>
      </c>
      <c r="N431" s="5" t="s">
        <v>66</v>
      </c>
      <c r="O431" s="2"/>
      <c r="P431" s="2"/>
    </row>
    <row r="432" spans="1:16">
      <c r="A432" s="5" t="s">
        <v>753</v>
      </c>
      <c r="B432" s="8">
        <v>46174</v>
      </c>
      <c r="C432" s="14">
        <f t="shared" si="6"/>
        <v>46174</v>
      </c>
      <c r="D432" s="5" t="s">
        <v>462</v>
      </c>
      <c r="E432" s="5" t="s">
        <v>342</v>
      </c>
      <c r="F432" s="5" t="s">
        <v>2</v>
      </c>
      <c r="G432" s="5" t="s">
        <v>9</v>
      </c>
      <c r="H432" s="5">
        <v>1</v>
      </c>
      <c r="I432" s="6">
        <v>2710</v>
      </c>
      <c r="J432" s="7">
        <v>0.1</v>
      </c>
      <c r="K432" s="6">
        <v>2439</v>
      </c>
      <c r="L432" s="6">
        <v>1625.95</v>
      </c>
      <c r="M432" s="5">
        <v>813.05</v>
      </c>
      <c r="N432" s="5" t="s">
        <v>64</v>
      </c>
      <c r="O432" s="2"/>
      <c r="P432" s="2"/>
    </row>
    <row r="433" spans="1:16">
      <c r="A433" s="5" t="s">
        <v>754</v>
      </c>
      <c r="B433" s="8">
        <v>46175</v>
      </c>
      <c r="C433" s="14">
        <f t="shared" si="6"/>
        <v>46174</v>
      </c>
      <c r="D433" s="5" t="s">
        <v>755</v>
      </c>
      <c r="E433" s="5" t="s">
        <v>18</v>
      </c>
      <c r="F433" s="5" t="s">
        <v>3</v>
      </c>
      <c r="G433" s="5" t="s">
        <v>8</v>
      </c>
      <c r="H433" s="5">
        <v>1</v>
      </c>
      <c r="I433" s="6">
        <v>2470</v>
      </c>
      <c r="J433" s="7">
        <v>0.1</v>
      </c>
      <c r="K433" s="6">
        <v>2223</v>
      </c>
      <c r="L433" s="6">
        <v>1590.33</v>
      </c>
      <c r="M433" s="5">
        <v>632.66999999999996</v>
      </c>
      <c r="N433" s="5" t="s">
        <v>63</v>
      </c>
      <c r="O433" s="2"/>
      <c r="P433" s="2"/>
    </row>
    <row r="434" spans="1:16">
      <c r="A434" s="5" t="s">
        <v>756</v>
      </c>
      <c r="B434" s="8">
        <v>46177</v>
      </c>
      <c r="C434" s="14">
        <f t="shared" si="6"/>
        <v>46174</v>
      </c>
      <c r="D434" s="5" t="s">
        <v>58</v>
      </c>
      <c r="E434" s="5" t="s">
        <v>78</v>
      </c>
      <c r="F434" s="5" t="s">
        <v>2</v>
      </c>
      <c r="G434" s="5" t="s">
        <v>9</v>
      </c>
      <c r="H434" s="5">
        <v>2</v>
      </c>
      <c r="I434" s="6">
        <v>3380</v>
      </c>
      <c r="J434" s="7">
        <v>0</v>
      </c>
      <c r="K434" s="6">
        <v>6760</v>
      </c>
      <c r="L434" s="6">
        <v>4218.6099999999997</v>
      </c>
      <c r="M434" s="5">
        <v>2541.39</v>
      </c>
      <c r="N434" s="5" t="s">
        <v>66</v>
      </c>
      <c r="O434" s="2"/>
      <c r="P434" s="2"/>
    </row>
    <row r="435" spans="1:16">
      <c r="A435" s="5" t="s">
        <v>757</v>
      </c>
      <c r="B435" s="8">
        <v>46180</v>
      </c>
      <c r="C435" s="14">
        <f t="shared" si="6"/>
        <v>46174</v>
      </c>
      <c r="D435" s="5" t="s">
        <v>56</v>
      </c>
      <c r="E435" s="5" t="s">
        <v>78</v>
      </c>
      <c r="F435" s="5" t="s">
        <v>2</v>
      </c>
      <c r="G435" s="5" t="s">
        <v>10</v>
      </c>
      <c r="H435" s="5">
        <v>2</v>
      </c>
      <c r="I435" s="6">
        <v>3530</v>
      </c>
      <c r="J435" s="7">
        <v>0.05</v>
      </c>
      <c r="K435" s="6">
        <v>6707</v>
      </c>
      <c r="L435" s="6">
        <v>4177.17</v>
      </c>
      <c r="M435" s="5">
        <v>2529.83</v>
      </c>
      <c r="N435" s="5" t="s">
        <v>66</v>
      </c>
      <c r="O435" s="2"/>
      <c r="P435" s="2"/>
    </row>
    <row r="436" spans="1:16">
      <c r="A436" s="5" t="s">
        <v>758</v>
      </c>
      <c r="B436" s="8">
        <v>46182</v>
      </c>
      <c r="C436" s="14">
        <f t="shared" si="6"/>
        <v>46174</v>
      </c>
      <c r="D436" s="5" t="s">
        <v>286</v>
      </c>
      <c r="E436" s="5" t="s">
        <v>149</v>
      </c>
      <c r="F436" s="5" t="s">
        <v>2</v>
      </c>
      <c r="G436" s="5" t="s">
        <v>9</v>
      </c>
      <c r="H436" s="5">
        <v>1</v>
      </c>
      <c r="I436" s="6">
        <v>2300</v>
      </c>
      <c r="J436" s="7">
        <v>0.1</v>
      </c>
      <c r="K436" s="6">
        <v>2070</v>
      </c>
      <c r="L436" s="6">
        <v>1291.3900000000001</v>
      </c>
      <c r="M436" s="5">
        <v>778.61</v>
      </c>
      <c r="N436" s="5" t="s">
        <v>66</v>
      </c>
      <c r="O436" s="2"/>
      <c r="P436" s="2"/>
    </row>
    <row r="437" spans="1:16">
      <c r="A437" s="5" t="s">
        <v>759</v>
      </c>
      <c r="B437" s="8">
        <v>46183</v>
      </c>
      <c r="C437" s="14">
        <f t="shared" si="6"/>
        <v>46174</v>
      </c>
      <c r="D437" s="5" t="s">
        <v>760</v>
      </c>
      <c r="E437" s="5" t="s">
        <v>125</v>
      </c>
      <c r="F437" s="5" t="s">
        <v>5</v>
      </c>
      <c r="G437" s="5" t="s">
        <v>8</v>
      </c>
      <c r="H437" s="5">
        <v>2</v>
      </c>
      <c r="I437" s="6">
        <v>1810</v>
      </c>
      <c r="J437" s="7">
        <v>0.1</v>
      </c>
      <c r="K437" s="6">
        <v>3258</v>
      </c>
      <c r="L437" s="6">
        <v>2081.7800000000002</v>
      </c>
      <c r="M437" s="5">
        <v>1176.22</v>
      </c>
      <c r="N437" s="5" t="s">
        <v>64</v>
      </c>
      <c r="O437" s="2"/>
      <c r="P437" s="2"/>
    </row>
    <row r="438" spans="1:16">
      <c r="A438" s="5" t="s">
        <v>761</v>
      </c>
      <c r="B438" s="8">
        <v>46185</v>
      </c>
      <c r="C438" s="14">
        <f t="shared" si="6"/>
        <v>46174</v>
      </c>
      <c r="D438" s="5" t="s">
        <v>762</v>
      </c>
      <c r="E438" s="5" t="s">
        <v>95</v>
      </c>
      <c r="F438" s="5" t="s">
        <v>4</v>
      </c>
      <c r="G438" s="5" t="s">
        <v>9</v>
      </c>
      <c r="H438" s="5">
        <v>2</v>
      </c>
      <c r="I438" s="6">
        <v>1930</v>
      </c>
      <c r="J438" s="7">
        <v>0.1</v>
      </c>
      <c r="K438" s="6">
        <v>3474</v>
      </c>
      <c r="L438" s="6">
        <v>2306.14</v>
      </c>
      <c r="M438" s="5">
        <v>1167.8599999999999</v>
      </c>
      <c r="N438" s="5" t="s">
        <v>63</v>
      </c>
      <c r="O438" s="2"/>
      <c r="P438" s="2"/>
    </row>
    <row r="439" spans="1:16">
      <c r="A439" s="5" t="s">
        <v>763</v>
      </c>
      <c r="B439" s="8">
        <v>46188</v>
      </c>
      <c r="C439" s="14">
        <f t="shared" si="6"/>
        <v>46174</v>
      </c>
      <c r="D439" s="5" t="s">
        <v>764</v>
      </c>
      <c r="E439" s="5" t="s">
        <v>15</v>
      </c>
      <c r="F439" s="5" t="s">
        <v>5</v>
      </c>
      <c r="G439" s="5" t="s">
        <v>10</v>
      </c>
      <c r="H439" s="5">
        <v>1</v>
      </c>
      <c r="I439" s="6">
        <v>3370</v>
      </c>
      <c r="J439" s="7">
        <v>0.1</v>
      </c>
      <c r="K439" s="6">
        <v>3033</v>
      </c>
      <c r="L439" s="6">
        <v>2149.6799999999998</v>
      </c>
      <c r="M439" s="5">
        <v>883.32</v>
      </c>
      <c r="N439" s="5" t="s">
        <v>63</v>
      </c>
      <c r="O439" s="2"/>
      <c r="P439" s="2"/>
    </row>
    <row r="440" spans="1:16">
      <c r="A440" s="5" t="s">
        <v>765</v>
      </c>
      <c r="B440" s="8">
        <v>46188</v>
      </c>
      <c r="C440" s="14">
        <f t="shared" si="6"/>
        <v>46174</v>
      </c>
      <c r="D440" s="5" t="s">
        <v>766</v>
      </c>
      <c r="E440" s="5" t="s">
        <v>221</v>
      </c>
      <c r="F440" s="5" t="s">
        <v>2</v>
      </c>
      <c r="G440" s="5" t="s">
        <v>10</v>
      </c>
      <c r="H440" s="5">
        <v>2</v>
      </c>
      <c r="I440" s="6">
        <v>1870</v>
      </c>
      <c r="J440" s="7">
        <v>0.15</v>
      </c>
      <c r="K440" s="6">
        <v>3179</v>
      </c>
      <c r="L440" s="6">
        <v>2122.2399999999998</v>
      </c>
      <c r="M440" s="5">
        <v>1056.76</v>
      </c>
      <c r="N440" s="5" t="s">
        <v>65</v>
      </c>
      <c r="O440" s="2"/>
      <c r="P440" s="2"/>
    </row>
    <row r="441" spans="1:16">
      <c r="A441" s="5" t="s">
        <v>767</v>
      </c>
      <c r="B441" s="8">
        <v>46189</v>
      </c>
      <c r="C441" s="14">
        <f t="shared" si="6"/>
        <v>46174</v>
      </c>
      <c r="D441" s="5" t="s">
        <v>439</v>
      </c>
      <c r="E441" s="5" t="s">
        <v>342</v>
      </c>
      <c r="F441" s="5" t="s">
        <v>2</v>
      </c>
      <c r="G441" s="5" t="s">
        <v>10</v>
      </c>
      <c r="H441" s="5">
        <v>2</v>
      </c>
      <c r="I441" s="6">
        <v>2890</v>
      </c>
      <c r="J441" s="7">
        <v>0.05</v>
      </c>
      <c r="K441" s="6">
        <v>5491</v>
      </c>
      <c r="L441" s="6">
        <v>3368.28</v>
      </c>
      <c r="M441" s="5">
        <v>2122.7199999999998</v>
      </c>
      <c r="N441" s="5" t="s">
        <v>64</v>
      </c>
      <c r="O441" s="2"/>
      <c r="P441" s="2"/>
    </row>
    <row r="442" spans="1:16">
      <c r="A442" s="5" t="s">
        <v>768</v>
      </c>
      <c r="B442" s="8">
        <v>46193</v>
      </c>
      <c r="C442" s="14">
        <f t="shared" si="6"/>
        <v>46174</v>
      </c>
      <c r="D442" s="5" t="s">
        <v>712</v>
      </c>
      <c r="E442" s="5" t="s">
        <v>125</v>
      </c>
      <c r="F442" s="5" t="s">
        <v>5</v>
      </c>
      <c r="G442" s="5" t="s">
        <v>10</v>
      </c>
      <c r="H442" s="5">
        <v>2</v>
      </c>
      <c r="I442" s="6">
        <v>1750</v>
      </c>
      <c r="J442" s="7">
        <v>0</v>
      </c>
      <c r="K442" s="6">
        <v>3500</v>
      </c>
      <c r="L442" s="6">
        <v>2040.66</v>
      </c>
      <c r="M442" s="5">
        <v>1459.34</v>
      </c>
      <c r="N442" s="5" t="s">
        <v>66</v>
      </c>
      <c r="O442" s="2"/>
      <c r="P442" s="2"/>
    </row>
    <row r="443" spans="1:16">
      <c r="A443" s="5" t="s">
        <v>769</v>
      </c>
      <c r="B443" s="8">
        <v>46194</v>
      </c>
      <c r="C443" s="14">
        <f t="shared" si="6"/>
        <v>46174</v>
      </c>
      <c r="D443" s="5" t="s">
        <v>770</v>
      </c>
      <c r="E443" s="5" t="s">
        <v>83</v>
      </c>
      <c r="F443" s="5" t="s">
        <v>4</v>
      </c>
      <c r="G443" s="5" t="s">
        <v>11</v>
      </c>
      <c r="H443" s="5">
        <v>1</v>
      </c>
      <c r="I443" s="6">
        <v>1550</v>
      </c>
      <c r="J443" s="7">
        <v>0.1</v>
      </c>
      <c r="K443" s="6">
        <v>1395</v>
      </c>
      <c r="L443" s="6">
        <v>921.51</v>
      </c>
      <c r="M443" s="5">
        <v>473.49</v>
      </c>
      <c r="N443" s="5" t="s">
        <v>63</v>
      </c>
      <c r="O443" s="2"/>
      <c r="P443" s="2"/>
    </row>
    <row r="444" spans="1:16">
      <c r="A444" s="5" t="s">
        <v>771</v>
      </c>
      <c r="B444" s="8">
        <v>46195</v>
      </c>
      <c r="C444" s="14">
        <f t="shared" si="6"/>
        <v>46174</v>
      </c>
      <c r="D444" s="5" t="s">
        <v>732</v>
      </c>
      <c r="E444" s="5" t="s">
        <v>17</v>
      </c>
      <c r="F444" s="5" t="s">
        <v>4</v>
      </c>
      <c r="G444" s="5" t="s">
        <v>9</v>
      </c>
      <c r="H444" s="5">
        <v>1</v>
      </c>
      <c r="I444" s="6">
        <v>2890</v>
      </c>
      <c r="J444" s="7">
        <v>0</v>
      </c>
      <c r="K444" s="6">
        <v>2890</v>
      </c>
      <c r="L444" s="6">
        <v>1849.92</v>
      </c>
      <c r="M444" s="5">
        <v>1040.08</v>
      </c>
      <c r="N444" s="5" t="s">
        <v>63</v>
      </c>
      <c r="O444" s="2"/>
      <c r="P444" s="2"/>
    </row>
    <row r="445" spans="1:16">
      <c r="A445" s="5" t="s">
        <v>772</v>
      </c>
      <c r="B445" s="8">
        <v>46201</v>
      </c>
      <c r="C445" s="14">
        <f t="shared" si="6"/>
        <v>46174</v>
      </c>
      <c r="D445" s="5" t="s">
        <v>220</v>
      </c>
      <c r="E445" s="5" t="s">
        <v>83</v>
      </c>
      <c r="F445" s="5" t="s">
        <v>4</v>
      </c>
      <c r="G445" s="5" t="s">
        <v>10</v>
      </c>
      <c r="H445" s="5">
        <v>1</v>
      </c>
      <c r="I445" s="6">
        <v>1600</v>
      </c>
      <c r="J445" s="7">
        <v>0.25</v>
      </c>
      <c r="K445" s="6">
        <v>1200</v>
      </c>
      <c r="L445" s="6">
        <v>879.61</v>
      </c>
      <c r="M445" s="5">
        <v>320.39</v>
      </c>
      <c r="N445" s="5" t="s">
        <v>64</v>
      </c>
      <c r="O445" s="2"/>
      <c r="P445" s="2"/>
    </row>
    <row r="446" spans="1:16">
      <c r="A446" s="5" t="s">
        <v>773</v>
      </c>
      <c r="B446" s="8">
        <v>46204</v>
      </c>
      <c r="C446" s="14">
        <f t="shared" si="6"/>
        <v>46204</v>
      </c>
      <c r="D446" s="5" t="s">
        <v>405</v>
      </c>
      <c r="E446" s="5" t="s">
        <v>16</v>
      </c>
      <c r="F446" s="5" t="s">
        <v>3</v>
      </c>
      <c r="G446" s="5" t="s">
        <v>9</v>
      </c>
      <c r="H446" s="5">
        <v>3</v>
      </c>
      <c r="I446" s="6">
        <v>3970</v>
      </c>
      <c r="J446" s="7">
        <v>0.1</v>
      </c>
      <c r="K446" s="6">
        <v>10719</v>
      </c>
      <c r="L446" s="6">
        <v>7694.73</v>
      </c>
      <c r="M446" s="5">
        <v>3024.27</v>
      </c>
      <c r="N446" s="5" t="s">
        <v>65</v>
      </c>
      <c r="O446" s="2"/>
      <c r="P446" s="2"/>
    </row>
    <row r="447" spans="1:16">
      <c r="A447" s="5" t="s">
        <v>774</v>
      </c>
      <c r="B447" s="8">
        <v>46204</v>
      </c>
      <c r="C447" s="14">
        <f t="shared" si="6"/>
        <v>46204</v>
      </c>
      <c r="D447" s="5" t="s">
        <v>775</v>
      </c>
      <c r="E447" s="5" t="s">
        <v>90</v>
      </c>
      <c r="F447" s="5" t="s">
        <v>3</v>
      </c>
      <c r="G447" s="5" t="s">
        <v>8</v>
      </c>
      <c r="H447" s="5">
        <v>1</v>
      </c>
      <c r="I447" s="6">
        <v>2050</v>
      </c>
      <c r="J447" s="7">
        <v>0.15</v>
      </c>
      <c r="K447" s="6">
        <v>1742.5</v>
      </c>
      <c r="L447" s="6">
        <v>1218.04</v>
      </c>
      <c r="M447" s="5">
        <v>524.46</v>
      </c>
      <c r="N447" s="5" t="s">
        <v>64</v>
      </c>
      <c r="O447" s="2"/>
      <c r="P447" s="2"/>
    </row>
    <row r="448" spans="1:16">
      <c r="A448" s="5" t="s">
        <v>776</v>
      </c>
      <c r="B448" s="8">
        <v>46204</v>
      </c>
      <c r="C448" s="14">
        <f t="shared" si="6"/>
        <v>46204</v>
      </c>
      <c r="D448" s="5" t="s">
        <v>312</v>
      </c>
      <c r="E448" s="5" t="s">
        <v>100</v>
      </c>
      <c r="F448" s="5" t="s">
        <v>4</v>
      </c>
      <c r="G448" s="5" t="s">
        <v>10</v>
      </c>
      <c r="H448" s="5">
        <v>1</v>
      </c>
      <c r="I448" s="6">
        <v>1520</v>
      </c>
      <c r="J448" s="7">
        <v>0.25</v>
      </c>
      <c r="K448" s="6">
        <v>1140</v>
      </c>
      <c r="L448" s="6">
        <v>866.75</v>
      </c>
      <c r="M448" s="5">
        <v>273.25</v>
      </c>
      <c r="N448" s="5" t="s">
        <v>65</v>
      </c>
      <c r="O448" s="2"/>
      <c r="P448" s="2"/>
    </row>
    <row r="449" spans="1:16">
      <c r="A449" s="5" t="s">
        <v>777</v>
      </c>
      <c r="B449" s="8">
        <v>46204</v>
      </c>
      <c r="C449" s="14">
        <f t="shared" si="6"/>
        <v>46204</v>
      </c>
      <c r="D449" s="5" t="s">
        <v>662</v>
      </c>
      <c r="E449" s="5" t="s">
        <v>100</v>
      </c>
      <c r="F449" s="5" t="s">
        <v>4</v>
      </c>
      <c r="G449" s="5" t="s">
        <v>9</v>
      </c>
      <c r="H449" s="5">
        <v>2</v>
      </c>
      <c r="I449" s="6">
        <v>1490</v>
      </c>
      <c r="J449" s="7">
        <v>0</v>
      </c>
      <c r="K449" s="6">
        <v>2980</v>
      </c>
      <c r="L449" s="6">
        <v>1690.52</v>
      </c>
      <c r="M449" s="5">
        <v>1289.48</v>
      </c>
      <c r="N449" s="5" t="s">
        <v>66</v>
      </c>
      <c r="O449" s="2"/>
      <c r="P449" s="2"/>
    </row>
    <row r="450" spans="1:16">
      <c r="A450" s="5" t="s">
        <v>778</v>
      </c>
      <c r="B450" s="8">
        <v>46205</v>
      </c>
      <c r="C450" s="14">
        <f t="shared" ref="C450:C501" si="7">DATE(YEAR(B450),MONTH(B450),1)</f>
        <v>46204</v>
      </c>
      <c r="D450" s="5" t="s">
        <v>257</v>
      </c>
      <c r="E450" s="5" t="s">
        <v>18</v>
      </c>
      <c r="F450" s="5" t="s">
        <v>3</v>
      </c>
      <c r="G450" s="5" t="s">
        <v>8</v>
      </c>
      <c r="H450" s="5">
        <v>2</v>
      </c>
      <c r="I450" s="6">
        <v>2400</v>
      </c>
      <c r="J450" s="7">
        <v>0.2</v>
      </c>
      <c r="K450" s="6">
        <v>3840</v>
      </c>
      <c r="L450" s="6">
        <v>3188.36</v>
      </c>
      <c r="M450" s="5">
        <v>651.64</v>
      </c>
      <c r="N450" s="5" t="s">
        <v>62</v>
      </c>
      <c r="O450" s="2"/>
      <c r="P450" s="2"/>
    </row>
    <row r="451" spans="1:16">
      <c r="A451" s="5" t="s">
        <v>779</v>
      </c>
      <c r="B451" s="8">
        <v>46207</v>
      </c>
      <c r="C451" s="14">
        <f t="shared" si="7"/>
        <v>46204</v>
      </c>
      <c r="D451" s="5" t="s">
        <v>51</v>
      </c>
      <c r="E451" s="5" t="s">
        <v>95</v>
      </c>
      <c r="F451" s="5" t="s">
        <v>4</v>
      </c>
      <c r="G451" s="5" t="s">
        <v>11</v>
      </c>
      <c r="H451" s="5">
        <v>4</v>
      </c>
      <c r="I451" s="6">
        <v>2070</v>
      </c>
      <c r="J451" s="7">
        <v>0.15</v>
      </c>
      <c r="K451" s="6">
        <v>7038</v>
      </c>
      <c r="L451" s="6">
        <v>4496.3100000000004</v>
      </c>
      <c r="M451" s="5">
        <v>2541.69</v>
      </c>
      <c r="N451" s="5" t="s">
        <v>66</v>
      </c>
      <c r="O451" s="2"/>
      <c r="P451" s="2"/>
    </row>
    <row r="452" spans="1:16">
      <c r="A452" s="5" t="s">
        <v>780</v>
      </c>
      <c r="B452" s="8">
        <v>46207</v>
      </c>
      <c r="C452" s="14">
        <f t="shared" si="7"/>
        <v>46204</v>
      </c>
      <c r="D452" s="5" t="s">
        <v>412</v>
      </c>
      <c r="E452" s="5" t="s">
        <v>90</v>
      </c>
      <c r="F452" s="5" t="s">
        <v>3</v>
      </c>
      <c r="G452" s="5" t="s">
        <v>10</v>
      </c>
      <c r="H452" s="5">
        <v>3</v>
      </c>
      <c r="I452" s="6">
        <v>2050</v>
      </c>
      <c r="J452" s="7">
        <v>0.1</v>
      </c>
      <c r="K452" s="6">
        <v>5535</v>
      </c>
      <c r="L452" s="6">
        <v>3577.75</v>
      </c>
      <c r="M452" s="5">
        <v>1957.25</v>
      </c>
      <c r="N452" s="5" t="s">
        <v>64</v>
      </c>
      <c r="O452" s="2"/>
      <c r="P452" s="2"/>
    </row>
    <row r="453" spans="1:16">
      <c r="A453" s="5" t="s">
        <v>781</v>
      </c>
      <c r="B453" s="8">
        <v>46207</v>
      </c>
      <c r="C453" s="14">
        <f t="shared" si="7"/>
        <v>46204</v>
      </c>
      <c r="D453" s="5" t="s">
        <v>53</v>
      </c>
      <c r="E453" s="5" t="s">
        <v>14</v>
      </c>
      <c r="F453" s="5" t="s">
        <v>5</v>
      </c>
      <c r="G453" s="5" t="s">
        <v>10</v>
      </c>
      <c r="H453" s="5">
        <v>1</v>
      </c>
      <c r="I453" s="6">
        <v>5530</v>
      </c>
      <c r="J453" s="7">
        <v>0</v>
      </c>
      <c r="K453" s="6">
        <v>5530</v>
      </c>
      <c r="L453" s="6">
        <v>3505.15</v>
      </c>
      <c r="M453" s="5">
        <v>2024.85</v>
      </c>
      <c r="N453" s="5" t="s">
        <v>66</v>
      </c>
      <c r="O453" s="2"/>
      <c r="P453" s="2"/>
    </row>
    <row r="454" spans="1:16">
      <c r="A454" s="5" t="s">
        <v>782</v>
      </c>
      <c r="B454" s="8">
        <v>46208</v>
      </c>
      <c r="C454" s="14">
        <f t="shared" si="7"/>
        <v>46204</v>
      </c>
      <c r="D454" s="5" t="s">
        <v>783</v>
      </c>
      <c r="E454" s="5" t="s">
        <v>15</v>
      </c>
      <c r="F454" s="5" t="s">
        <v>5</v>
      </c>
      <c r="G454" s="5" t="s">
        <v>10</v>
      </c>
      <c r="H454" s="5">
        <v>3</v>
      </c>
      <c r="I454" s="6">
        <v>3360</v>
      </c>
      <c r="J454" s="7">
        <v>0.1</v>
      </c>
      <c r="K454" s="6">
        <v>9072</v>
      </c>
      <c r="L454" s="6">
        <v>6515.67</v>
      </c>
      <c r="M454" s="5">
        <v>2556.33</v>
      </c>
      <c r="N454" s="5" t="s">
        <v>62</v>
      </c>
      <c r="O454" s="2"/>
      <c r="P454" s="2"/>
    </row>
    <row r="455" spans="1:16">
      <c r="A455" s="5" t="s">
        <v>784</v>
      </c>
      <c r="B455" s="8">
        <v>46208</v>
      </c>
      <c r="C455" s="14">
        <f t="shared" si="7"/>
        <v>46204</v>
      </c>
      <c r="D455" s="5" t="s">
        <v>504</v>
      </c>
      <c r="E455" s="5" t="s">
        <v>125</v>
      </c>
      <c r="F455" s="5" t="s">
        <v>5</v>
      </c>
      <c r="G455" s="5" t="s">
        <v>8</v>
      </c>
      <c r="H455" s="5">
        <v>1</v>
      </c>
      <c r="I455" s="6">
        <v>1850</v>
      </c>
      <c r="J455" s="7">
        <v>0</v>
      </c>
      <c r="K455" s="6">
        <v>1850</v>
      </c>
      <c r="L455" s="6">
        <v>1028.9100000000001</v>
      </c>
      <c r="M455" s="5">
        <v>821.09</v>
      </c>
      <c r="N455" s="5" t="s">
        <v>64</v>
      </c>
      <c r="O455" s="2"/>
      <c r="P455" s="2"/>
    </row>
    <row r="456" spans="1:16">
      <c r="A456" s="5" t="s">
        <v>785</v>
      </c>
      <c r="B456" s="8">
        <v>46208</v>
      </c>
      <c r="C456" s="14">
        <f t="shared" si="7"/>
        <v>46204</v>
      </c>
      <c r="D456" s="5" t="s">
        <v>602</v>
      </c>
      <c r="E456" s="5" t="s">
        <v>90</v>
      </c>
      <c r="F456" s="5" t="s">
        <v>3</v>
      </c>
      <c r="G456" s="5" t="s">
        <v>8</v>
      </c>
      <c r="H456" s="5">
        <v>1</v>
      </c>
      <c r="I456" s="6">
        <v>1970</v>
      </c>
      <c r="J456" s="7">
        <v>0</v>
      </c>
      <c r="K456" s="6">
        <v>1970</v>
      </c>
      <c r="L456" s="6">
        <v>1231.1400000000001</v>
      </c>
      <c r="M456" s="5">
        <v>738.86</v>
      </c>
      <c r="N456" s="5" t="s">
        <v>63</v>
      </c>
      <c r="O456" s="2"/>
      <c r="P456" s="2"/>
    </row>
    <row r="457" spans="1:16">
      <c r="A457" s="5" t="s">
        <v>786</v>
      </c>
      <c r="B457" s="8">
        <v>46211</v>
      </c>
      <c r="C457" s="14">
        <f t="shared" si="7"/>
        <v>46204</v>
      </c>
      <c r="D457" s="5" t="s">
        <v>787</v>
      </c>
      <c r="E457" s="5" t="s">
        <v>15</v>
      </c>
      <c r="F457" s="5" t="s">
        <v>5</v>
      </c>
      <c r="G457" s="5" t="s">
        <v>9</v>
      </c>
      <c r="H457" s="5">
        <v>4</v>
      </c>
      <c r="I457" s="6">
        <v>3450</v>
      </c>
      <c r="J457" s="7">
        <v>0.15</v>
      </c>
      <c r="K457" s="6">
        <v>11730</v>
      </c>
      <c r="L457" s="6">
        <v>8899.34</v>
      </c>
      <c r="M457" s="5">
        <v>2830.66</v>
      </c>
      <c r="N457" s="5" t="s">
        <v>62</v>
      </c>
      <c r="O457" s="2"/>
      <c r="P457" s="2"/>
    </row>
    <row r="458" spans="1:16">
      <c r="A458" s="5" t="s">
        <v>788</v>
      </c>
      <c r="B458" s="8">
        <v>46211</v>
      </c>
      <c r="C458" s="14">
        <f t="shared" si="7"/>
        <v>46204</v>
      </c>
      <c r="D458" s="5" t="s">
        <v>526</v>
      </c>
      <c r="E458" s="5" t="s">
        <v>90</v>
      </c>
      <c r="F458" s="5" t="s">
        <v>3</v>
      </c>
      <c r="G458" s="5" t="s">
        <v>9</v>
      </c>
      <c r="H458" s="5">
        <v>1</v>
      </c>
      <c r="I458" s="6">
        <v>2030</v>
      </c>
      <c r="J458" s="7">
        <v>0.1</v>
      </c>
      <c r="K458" s="6">
        <v>1827</v>
      </c>
      <c r="L458" s="6">
        <v>1180.92</v>
      </c>
      <c r="M458" s="5">
        <v>646.08000000000004</v>
      </c>
      <c r="N458" s="5" t="s">
        <v>64</v>
      </c>
      <c r="O458" s="2"/>
      <c r="P458" s="2"/>
    </row>
    <row r="459" spans="1:16">
      <c r="A459" s="5" t="s">
        <v>789</v>
      </c>
      <c r="B459" s="8">
        <v>46212</v>
      </c>
      <c r="C459" s="14">
        <f t="shared" si="7"/>
        <v>46204</v>
      </c>
      <c r="D459" s="5" t="s">
        <v>282</v>
      </c>
      <c r="E459" s="5" t="s">
        <v>100</v>
      </c>
      <c r="F459" s="5" t="s">
        <v>4</v>
      </c>
      <c r="G459" s="5" t="s">
        <v>9</v>
      </c>
      <c r="H459" s="5">
        <v>3</v>
      </c>
      <c r="I459" s="6">
        <v>1500</v>
      </c>
      <c r="J459" s="7">
        <v>0.1</v>
      </c>
      <c r="K459" s="6">
        <v>4050</v>
      </c>
      <c r="L459" s="6">
        <v>2600.4499999999998</v>
      </c>
      <c r="M459" s="5">
        <v>1449.55</v>
      </c>
      <c r="N459" s="5" t="s">
        <v>63</v>
      </c>
      <c r="O459" s="2"/>
      <c r="P459" s="2"/>
    </row>
    <row r="460" spans="1:16">
      <c r="A460" s="5" t="s">
        <v>790</v>
      </c>
      <c r="B460" s="8">
        <v>46215</v>
      </c>
      <c r="C460" s="14">
        <f t="shared" si="7"/>
        <v>46204</v>
      </c>
      <c r="D460" s="5" t="s">
        <v>337</v>
      </c>
      <c r="E460" s="5" t="s">
        <v>100</v>
      </c>
      <c r="F460" s="5" t="s">
        <v>4</v>
      </c>
      <c r="G460" s="5" t="s">
        <v>10</v>
      </c>
      <c r="H460" s="5">
        <v>4</v>
      </c>
      <c r="I460" s="6">
        <v>1450</v>
      </c>
      <c r="J460" s="7">
        <v>0.1</v>
      </c>
      <c r="K460" s="6">
        <v>5220</v>
      </c>
      <c r="L460" s="6">
        <v>3451.94</v>
      </c>
      <c r="M460" s="5">
        <v>1768.06</v>
      </c>
      <c r="N460" s="5" t="s">
        <v>65</v>
      </c>
      <c r="O460" s="2"/>
      <c r="P460" s="2"/>
    </row>
    <row r="461" spans="1:16">
      <c r="A461" s="5" t="s">
        <v>791</v>
      </c>
      <c r="B461" s="8">
        <v>46215</v>
      </c>
      <c r="C461" s="14">
        <f t="shared" si="7"/>
        <v>46204</v>
      </c>
      <c r="D461" s="5" t="s">
        <v>56</v>
      </c>
      <c r="E461" s="5" t="s">
        <v>14</v>
      </c>
      <c r="F461" s="5" t="s">
        <v>5</v>
      </c>
      <c r="G461" s="5" t="s">
        <v>10</v>
      </c>
      <c r="H461" s="5">
        <v>3</v>
      </c>
      <c r="I461" s="6">
        <v>5520</v>
      </c>
      <c r="J461" s="7">
        <v>0.1</v>
      </c>
      <c r="K461" s="6">
        <v>14904</v>
      </c>
      <c r="L461" s="6">
        <v>10756.46</v>
      </c>
      <c r="M461" s="5">
        <v>4147.54</v>
      </c>
      <c r="N461" s="5" t="s">
        <v>66</v>
      </c>
      <c r="O461" s="2"/>
      <c r="P461" s="2"/>
    </row>
    <row r="462" spans="1:16">
      <c r="A462" s="5" t="s">
        <v>792</v>
      </c>
      <c r="B462" s="8">
        <v>46216</v>
      </c>
      <c r="C462" s="14">
        <f t="shared" si="7"/>
        <v>46204</v>
      </c>
      <c r="D462" s="5" t="s">
        <v>793</v>
      </c>
      <c r="E462" s="5" t="s">
        <v>90</v>
      </c>
      <c r="F462" s="5" t="s">
        <v>3</v>
      </c>
      <c r="G462" s="5" t="s">
        <v>9</v>
      </c>
      <c r="H462" s="5">
        <v>2</v>
      </c>
      <c r="I462" s="6">
        <v>1950</v>
      </c>
      <c r="J462" s="7">
        <v>0.1</v>
      </c>
      <c r="K462" s="6">
        <v>3510</v>
      </c>
      <c r="L462" s="6">
        <v>2380.16</v>
      </c>
      <c r="M462" s="5">
        <v>1129.8399999999999</v>
      </c>
      <c r="N462" s="5" t="s">
        <v>63</v>
      </c>
      <c r="O462" s="2"/>
      <c r="P462" s="2"/>
    </row>
    <row r="463" spans="1:16">
      <c r="A463" s="5" t="s">
        <v>794</v>
      </c>
      <c r="B463" s="8">
        <v>46216</v>
      </c>
      <c r="C463" s="14">
        <f t="shared" si="7"/>
        <v>46204</v>
      </c>
      <c r="D463" s="5" t="s">
        <v>157</v>
      </c>
      <c r="E463" s="5" t="s">
        <v>342</v>
      </c>
      <c r="F463" s="5" t="s">
        <v>2</v>
      </c>
      <c r="G463" s="5" t="s">
        <v>10</v>
      </c>
      <c r="H463" s="5">
        <v>1</v>
      </c>
      <c r="I463" s="6">
        <v>2900</v>
      </c>
      <c r="J463" s="7">
        <v>0</v>
      </c>
      <c r="K463" s="6">
        <v>2900</v>
      </c>
      <c r="L463" s="6">
        <v>1644.58</v>
      </c>
      <c r="M463" s="5">
        <v>1255.42</v>
      </c>
      <c r="N463" s="5" t="s">
        <v>66</v>
      </c>
      <c r="O463" s="2"/>
      <c r="P463" s="2"/>
    </row>
    <row r="464" spans="1:16">
      <c r="A464" s="5" t="s">
        <v>795</v>
      </c>
      <c r="B464" s="8">
        <v>46217</v>
      </c>
      <c r="C464" s="14">
        <f t="shared" si="7"/>
        <v>46204</v>
      </c>
      <c r="D464" s="5" t="s">
        <v>271</v>
      </c>
      <c r="E464" s="5" t="s">
        <v>125</v>
      </c>
      <c r="F464" s="5" t="s">
        <v>5</v>
      </c>
      <c r="G464" s="5" t="s">
        <v>11</v>
      </c>
      <c r="H464" s="5">
        <v>1</v>
      </c>
      <c r="I464" s="6">
        <v>1750</v>
      </c>
      <c r="J464" s="7">
        <v>0</v>
      </c>
      <c r="K464" s="6">
        <v>1750</v>
      </c>
      <c r="L464" s="6">
        <v>1025.8800000000001</v>
      </c>
      <c r="M464" s="5">
        <v>724.12</v>
      </c>
      <c r="N464" s="5" t="s">
        <v>63</v>
      </c>
      <c r="O464" s="2"/>
      <c r="P464" s="2"/>
    </row>
    <row r="465" spans="1:16">
      <c r="A465" s="5" t="s">
        <v>796</v>
      </c>
      <c r="B465" s="8">
        <v>46217</v>
      </c>
      <c r="C465" s="14">
        <f t="shared" si="7"/>
        <v>46204</v>
      </c>
      <c r="D465" s="5" t="s">
        <v>716</v>
      </c>
      <c r="E465" s="5" t="s">
        <v>95</v>
      </c>
      <c r="F465" s="5" t="s">
        <v>4</v>
      </c>
      <c r="G465" s="5" t="s">
        <v>10</v>
      </c>
      <c r="H465" s="5">
        <v>2</v>
      </c>
      <c r="I465" s="6">
        <v>1930</v>
      </c>
      <c r="J465" s="7">
        <v>0.05</v>
      </c>
      <c r="K465" s="6">
        <v>3667</v>
      </c>
      <c r="L465" s="6">
        <v>2317.59</v>
      </c>
      <c r="M465" s="5">
        <v>1349.41</v>
      </c>
      <c r="N465" s="5" t="s">
        <v>64</v>
      </c>
      <c r="O465" s="2"/>
      <c r="P465" s="2"/>
    </row>
    <row r="466" spans="1:16">
      <c r="A466" s="5" t="s">
        <v>797</v>
      </c>
      <c r="B466" s="8">
        <v>46217</v>
      </c>
      <c r="C466" s="14">
        <f t="shared" si="7"/>
        <v>46204</v>
      </c>
      <c r="D466" s="5" t="s">
        <v>99</v>
      </c>
      <c r="E466" s="5" t="s">
        <v>121</v>
      </c>
      <c r="F466" s="5" t="s">
        <v>3</v>
      </c>
      <c r="G466" s="5" t="s">
        <v>10</v>
      </c>
      <c r="H466" s="5">
        <v>2</v>
      </c>
      <c r="I466" s="6">
        <v>1320</v>
      </c>
      <c r="J466" s="7">
        <v>0.05</v>
      </c>
      <c r="K466" s="6">
        <v>2508</v>
      </c>
      <c r="L466" s="6">
        <v>1551.73</v>
      </c>
      <c r="M466" s="5">
        <v>956.27</v>
      </c>
      <c r="N466" s="5" t="s">
        <v>66</v>
      </c>
      <c r="O466" s="2"/>
      <c r="P466" s="2"/>
    </row>
    <row r="467" spans="1:16">
      <c r="A467" s="5" t="s">
        <v>798</v>
      </c>
      <c r="B467" s="8">
        <v>46218</v>
      </c>
      <c r="C467" s="14">
        <f t="shared" si="7"/>
        <v>46204</v>
      </c>
      <c r="D467" s="5" t="s">
        <v>799</v>
      </c>
      <c r="E467" s="5" t="s">
        <v>18</v>
      </c>
      <c r="F467" s="5" t="s">
        <v>3</v>
      </c>
      <c r="G467" s="5" t="s">
        <v>11</v>
      </c>
      <c r="H467" s="5">
        <v>1</v>
      </c>
      <c r="I467" s="6">
        <v>2450</v>
      </c>
      <c r="J467" s="7">
        <v>0.25</v>
      </c>
      <c r="K467" s="6">
        <v>1837.5</v>
      </c>
      <c r="L467" s="6">
        <v>1511.93</v>
      </c>
      <c r="M467" s="5">
        <v>325.57</v>
      </c>
      <c r="N467" s="5" t="s">
        <v>63</v>
      </c>
      <c r="O467" s="2"/>
      <c r="P467" s="2"/>
    </row>
    <row r="468" spans="1:16">
      <c r="A468" s="5" t="s">
        <v>800</v>
      </c>
      <c r="B468" s="8">
        <v>46219</v>
      </c>
      <c r="C468" s="14">
        <f t="shared" si="7"/>
        <v>46204</v>
      </c>
      <c r="D468" s="5" t="s">
        <v>332</v>
      </c>
      <c r="E468" s="5" t="s">
        <v>121</v>
      </c>
      <c r="F468" s="5" t="s">
        <v>3</v>
      </c>
      <c r="G468" s="5" t="s">
        <v>9</v>
      </c>
      <c r="H468" s="5">
        <v>2</v>
      </c>
      <c r="I468" s="6">
        <v>1250</v>
      </c>
      <c r="J468" s="7">
        <v>0.05</v>
      </c>
      <c r="K468" s="6">
        <v>2375</v>
      </c>
      <c r="L468" s="6">
        <v>1508.92</v>
      </c>
      <c r="M468" s="5">
        <v>866.08</v>
      </c>
      <c r="N468" s="5" t="s">
        <v>66</v>
      </c>
      <c r="O468" s="2"/>
      <c r="P468" s="2"/>
    </row>
    <row r="469" spans="1:16">
      <c r="A469" s="5" t="s">
        <v>801</v>
      </c>
      <c r="B469" s="8">
        <v>46220</v>
      </c>
      <c r="C469" s="14">
        <f t="shared" si="7"/>
        <v>46204</v>
      </c>
      <c r="D469" s="5" t="s">
        <v>618</v>
      </c>
      <c r="E469" s="5" t="s">
        <v>100</v>
      </c>
      <c r="F469" s="5" t="s">
        <v>4</v>
      </c>
      <c r="G469" s="5" t="s">
        <v>10</v>
      </c>
      <c r="H469" s="5">
        <v>2</v>
      </c>
      <c r="I469" s="6">
        <v>1470</v>
      </c>
      <c r="J469" s="7">
        <v>0.15</v>
      </c>
      <c r="K469" s="6">
        <v>2499</v>
      </c>
      <c r="L469" s="6">
        <v>1651.14</v>
      </c>
      <c r="M469" s="5">
        <v>847.86</v>
      </c>
      <c r="N469" s="5" t="s">
        <v>66</v>
      </c>
      <c r="O469" s="2"/>
      <c r="P469" s="2"/>
    </row>
    <row r="470" spans="1:16">
      <c r="A470" s="5" t="s">
        <v>802</v>
      </c>
      <c r="B470" s="8">
        <v>46220</v>
      </c>
      <c r="C470" s="14">
        <f t="shared" si="7"/>
        <v>46204</v>
      </c>
      <c r="D470" s="5" t="s">
        <v>516</v>
      </c>
      <c r="E470" s="5" t="s">
        <v>17</v>
      </c>
      <c r="F470" s="5" t="s">
        <v>4</v>
      </c>
      <c r="G470" s="5" t="s">
        <v>11</v>
      </c>
      <c r="H470" s="5">
        <v>3</v>
      </c>
      <c r="I470" s="6">
        <v>3100</v>
      </c>
      <c r="J470" s="7">
        <v>0.1</v>
      </c>
      <c r="K470" s="6">
        <v>8370</v>
      </c>
      <c r="L470" s="6">
        <v>5551.33</v>
      </c>
      <c r="M470" s="5">
        <v>2818.67</v>
      </c>
      <c r="N470" s="5" t="s">
        <v>63</v>
      </c>
      <c r="O470" s="2"/>
      <c r="P470" s="2"/>
    </row>
    <row r="471" spans="1:16">
      <c r="A471" s="5" t="s">
        <v>803</v>
      </c>
      <c r="B471" s="8">
        <v>46220</v>
      </c>
      <c r="C471" s="14">
        <f t="shared" si="7"/>
        <v>46204</v>
      </c>
      <c r="D471" s="5" t="s">
        <v>99</v>
      </c>
      <c r="E471" s="5" t="s">
        <v>221</v>
      </c>
      <c r="F471" s="5" t="s">
        <v>2</v>
      </c>
      <c r="G471" s="5" t="s">
        <v>8</v>
      </c>
      <c r="H471" s="5">
        <v>1</v>
      </c>
      <c r="I471" s="6">
        <v>1940</v>
      </c>
      <c r="J471" s="7">
        <v>0</v>
      </c>
      <c r="K471" s="6">
        <v>1940</v>
      </c>
      <c r="L471" s="6">
        <v>1062.73</v>
      </c>
      <c r="M471" s="5">
        <v>877.27</v>
      </c>
      <c r="N471" s="5" t="s">
        <v>66</v>
      </c>
      <c r="O471" s="2"/>
      <c r="P471" s="2"/>
    </row>
    <row r="472" spans="1:16">
      <c r="A472" s="5" t="s">
        <v>804</v>
      </c>
      <c r="B472" s="8">
        <v>46221</v>
      </c>
      <c r="C472" s="14">
        <f t="shared" si="7"/>
        <v>46204</v>
      </c>
      <c r="D472" s="5" t="s">
        <v>805</v>
      </c>
      <c r="E472" s="5" t="s">
        <v>15</v>
      </c>
      <c r="F472" s="5" t="s">
        <v>5</v>
      </c>
      <c r="G472" s="5" t="s">
        <v>11</v>
      </c>
      <c r="H472" s="5">
        <v>5</v>
      </c>
      <c r="I472" s="6">
        <v>3390</v>
      </c>
      <c r="J472" s="7">
        <v>0</v>
      </c>
      <c r="K472" s="6">
        <v>16950</v>
      </c>
      <c r="L472" s="6">
        <v>10675.75</v>
      </c>
      <c r="M472" s="5">
        <v>6274.25</v>
      </c>
      <c r="N472" s="5" t="s">
        <v>63</v>
      </c>
      <c r="O472" s="2"/>
      <c r="P472" s="2"/>
    </row>
    <row r="473" spans="1:16">
      <c r="A473" s="5" t="s">
        <v>806</v>
      </c>
      <c r="B473" s="8">
        <v>46222</v>
      </c>
      <c r="C473" s="14">
        <f t="shared" si="7"/>
        <v>46204</v>
      </c>
      <c r="D473" s="5" t="s">
        <v>450</v>
      </c>
      <c r="E473" s="5" t="s">
        <v>15</v>
      </c>
      <c r="F473" s="5" t="s">
        <v>5</v>
      </c>
      <c r="G473" s="5" t="s">
        <v>10</v>
      </c>
      <c r="H473" s="5">
        <v>2</v>
      </c>
      <c r="I473" s="6">
        <v>3590</v>
      </c>
      <c r="J473" s="7">
        <v>0.1</v>
      </c>
      <c r="K473" s="6">
        <v>6462</v>
      </c>
      <c r="L473" s="6">
        <v>4313.7700000000004</v>
      </c>
      <c r="M473" s="5">
        <v>2148.23</v>
      </c>
      <c r="N473" s="5" t="s">
        <v>66</v>
      </c>
      <c r="O473" s="2"/>
      <c r="P473" s="2"/>
    </row>
    <row r="474" spans="1:16">
      <c r="A474" s="5" t="s">
        <v>807</v>
      </c>
      <c r="B474" s="8">
        <v>46222</v>
      </c>
      <c r="C474" s="14">
        <f t="shared" si="7"/>
        <v>46204</v>
      </c>
      <c r="D474" s="5" t="s">
        <v>616</v>
      </c>
      <c r="E474" s="5" t="s">
        <v>16</v>
      </c>
      <c r="F474" s="5" t="s">
        <v>3</v>
      </c>
      <c r="G474" s="5" t="s">
        <v>10</v>
      </c>
      <c r="H474" s="5">
        <v>1</v>
      </c>
      <c r="I474" s="6">
        <v>3950</v>
      </c>
      <c r="J474" s="7">
        <v>0.05</v>
      </c>
      <c r="K474" s="6">
        <v>3752.5</v>
      </c>
      <c r="L474" s="6">
        <v>2427.9</v>
      </c>
      <c r="M474" s="5">
        <v>1324.6</v>
      </c>
      <c r="N474" s="5" t="s">
        <v>62</v>
      </c>
      <c r="O474" s="2"/>
      <c r="P474" s="2"/>
    </row>
    <row r="475" spans="1:16">
      <c r="A475" s="5" t="s">
        <v>808</v>
      </c>
      <c r="B475" s="8">
        <v>46224</v>
      </c>
      <c r="C475" s="14">
        <f t="shared" si="7"/>
        <v>46204</v>
      </c>
      <c r="D475" s="5" t="s">
        <v>809</v>
      </c>
      <c r="E475" s="5" t="s">
        <v>130</v>
      </c>
      <c r="F475" s="5" t="s">
        <v>5</v>
      </c>
      <c r="G475" s="5" t="s">
        <v>8</v>
      </c>
      <c r="H475" s="5">
        <v>2</v>
      </c>
      <c r="I475" s="6">
        <v>3030</v>
      </c>
      <c r="J475" s="7">
        <v>0.05</v>
      </c>
      <c r="K475" s="6">
        <v>5757</v>
      </c>
      <c r="L475" s="6">
        <v>4012.08</v>
      </c>
      <c r="M475" s="5">
        <v>1744.92</v>
      </c>
      <c r="N475" s="5" t="s">
        <v>66</v>
      </c>
      <c r="O475" s="2"/>
      <c r="P475" s="2"/>
    </row>
    <row r="476" spans="1:16">
      <c r="A476" s="5" t="s">
        <v>810</v>
      </c>
      <c r="B476" s="8">
        <v>46225</v>
      </c>
      <c r="C476" s="14">
        <f t="shared" si="7"/>
        <v>46204</v>
      </c>
      <c r="D476" s="5" t="s">
        <v>355</v>
      </c>
      <c r="E476" s="5" t="s">
        <v>221</v>
      </c>
      <c r="F476" s="5" t="s">
        <v>2</v>
      </c>
      <c r="G476" s="5" t="s">
        <v>8</v>
      </c>
      <c r="H476" s="5">
        <v>2</v>
      </c>
      <c r="I476" s="6">
        <v>1880</v>
      </c>
      <c r="J476" s="7">
        <v>0.1</v>
      </c>
      <c r="K476" s="6">
        <v>3384</v>
      </c>
      <c r="L476" s="6">
        <v>2116.7199999999998</v>
      </c>
      <c r="M476" s="5">
        <v>1267.28</v>
      </c>
      <c r="N476" s="5" t="s">
        <v>66</v>
      </c>
      <c r="O476" s="2"/>
      <c r="P476" s="2"/>
    </row>
    <row r="477" spans="1:16">
      <c r="A477" s="5" t="s">
        <v>811</v>
      </c>
      <c r="B477" s="8">
        <v>46225</v>
      </c>
      <c r="C477" s="14">
        <f t="shared" si="7"/>
        <v>46204</v>
      </c>
      <c r="D477" s="5" t="s">
        <v>486</v>
      </c>
      <c r="E477" s="5" t="s">
        <v>17</v>
      </c>
      <c r="F477" s="5" t="s">
        <v>4</v>
      </c>
      <c r="G477" s="5" t="s">
        <v>10</v>
      </c>
      <c r="H477" s="5">
        <v>1</v>
      </c>
      <c r="I477" s="6">
        <v>2890</v>
      </c>
      <c r="J477" s="7">
        <v>0.1</v>
      </c>
      <c r="K477" s="6">
        <v>2601</v>
      </c>
      <c r="L477" s="6">
        <v>1817.87</v>
      </c>
      <c r="M477" s="5">
        <v>783.13</v>
      </c>
      <c r="N477" s="5" t="s">
        <v>66</v>
      </c>
      <c r="O477" s="2"/>
      <c r="P477" s="2"/>
    </row>
    <row r="478" spans="1:16">
      <c r="A478" s="5" t="s">
        <v>812</v>
      </c>
      <c r="B478" s="8">
        <v>46228</v>
      </c>
      <c r="C478" s="14">
        <f t="shared" si="7"/>
        <v>46204</v>
      </c>
      <c r="D478" s="5" t="s">
        <v>54</v>
      </c>
      <c r="E478" s="5" t="s">
        <v>17</v>
      </c>
      <c r="F478" s="5" t="s">
        <v>4</v>
      </c>
      <c r="G478" s="5" t="s">
        <v>9</v>
      </c>
      <c r="H478" s="5">
        <v>4</v>
      </c>
      <c r="I478" s="6">
        <v>2950</v>
      </c>
      <c r="J478" s="7">
        <v>0.15</v>
      </c>
      <c r="K478" s="6">
        <v>10030</v>
      </c>
      <c r="L478" s="6">
        <v>7300.65</v>
      </c>
      <c r="M478" s="5">
        <v>2729.35</v>
      </c>
      <c r="N478" s="5" t="s">
        <v>64</v>
      </c>
      <c r="O478" s="2"/>
      <c r="P478" s="2"/>
    </row>
    <row r="479" spans="1:16">
      <c r="A479" s="5" t="s">
        <v>813</v>
      </c>
      <c r="B479" s="8">
        <v>46229</v>
      </c>
      <c r="C479" s="14">
        <f t="shared" si="7"/>
        <v>46204</v>
      </c>
      <c r="D479" s="5" t="s">
        <v>697</v>
      </c>
      <c r="E479" s="5" t="s">
        <v>14</v>
      </c>
      <c r="F479" s="5" t="s">
        <v>5</v>
      </c>
      <c r="G479" s="5" t="s">
        <v>10</v>
      </c>
      <c r="H479" s="5">
        <v>1</v>
      </c>
      <c r="I479" s="6">
        <v>5510</v>
      </c>
      <c r="J479" s="7">
        <v>0</v>
      </c>
      <c r="K479" s="6">
        <v>5510</v>
      </c>
      <c r="L479" s="6">
        <v>3608.78</v>
      </c>
      <c r="M479" s="5">
        <v>1901.22</v>
      </c>
      <c r="N479" s="5" t="s">
        <v>64</v>
      </c>
      <c r="O479" s="2"/>
      <c r="P479" s="2"/>
    </row>
    <row r="480" spans="1:16">
      <c r="A480" s="5" t="s">
        <v>814</v>
      </c>
      <c r="B480" s="8">
        <v>46230</v>
      </c>
      <c r="C480" s="14">
        <f t="shared" si="7"/>
        <v>46204</v>
      </c>
      <c r="D480" s="5" t="s">
        <v>168</v>
      </c>
      <c r="E480" s="5" t="s">
        <v>15</v>
      </c>
      <c r="F480" s="5" t="s">
        <v>5</v>
      </c>
      <c r="G480" s="5" t="s">
        <v>11</v>
      </c>
      <c r="H480" s="5">
        <v>2</v>
      </c>
      <c r="I480" s="6">
        <v>3620</v>
      </c>
      <c r="J480" s="7">
        <v>0.2</v>
      </c>
      <c r="K480" s="6">
        <v>5792</v>
      </c>
      <c r="L480" s="6">
        <v>4358.26</v>
      </c>
      <c r="M480" s="5">
        <v>1433.74</v>
      </c>
      <c r="N480" s="5" t="s">
        <v>66</v>
      </c>
      <c r="O480" s="2"/>
      <c r="P480" s="2"/>
    </row>
    <row r="481" spans="1:16">
      <c r="A481" s="5" t="s">
        <v>815</v>
      </c>
      <c r="B481" s="8">
        <v>46231</v>
      </c>
      <c r="C481" s="14">
        <f t="shared" si="7"/>
        <v>46204</v>
      </c>
      <c r="D481" s="5" t="s">
        <v>129</v>
      </c>
      <c r="E481" s="5" t="s">
        <v>90</v>
      </c>
      <c r="F481" s="5" t="s">
        <v>3</v>
      </c>
      <c r="G481" s="5" t="s">
        <v>8</v>
      </c>
      <c r="H481" s="5">
        <v>2</v>
      </c>
      <c r="I481" s="6">
        <v>2040</v>
      </c>
      <c r="J481" s="7">
        <v>0.05</v>
      </c>
      <c r="K481" s="6">
        <v>3876</v>
      </c>
      <c r="L481" s="6">
        <v>2354.9299999999998</v>
      </c>
      <c r="M481" s="5">
        <v>1521.07</v>
      </c>
      <c r="N481" s="5" t="s">
        <v>63</v>
      </c>
      <c r="O481" s="2"/>
      <c r="P481" s="2"/>
    </row>
    <row r="482" spans="1:16">
      <c r="A482" s="5" t="s">
        <v>816</v>
      </c>
      <c r="B482" s="8">
        <v>46231</v>
      </c>
      <c r="C482" s="14">
        <f t="shared" si="7"/>
        <v>46204</v>
      </c>
      <c r="D482" s="5" t="s">
        <v>817</v>
      </c>
      <c r="E482" s="5" t="s">
        <v>17</v>
      </c>
      <c r="F482" s="5" t="s">
        <v>4</v>
      </c>
      <c r="G482" s="5" t="s">
        <v>9</v>
      </c>
      <c r="H482" s="5">
        <v>2</v>
      </c>
      <c r="I482" s="6">
        <v>2920</v>
      </c>
      <c r="J482" s="7">
        <v>0.1</v>
      </c>
      <c r="K482" s="6">
        <v>5256</v>
      </c>
      <c r="L482" s="6">
        <v>3674.93</v>
      </c>
      <c r="M482" s="5">
        <v>1581.07</v>
      </c>
      <c r="N482" s="5" t="s">
        <v>66</v>
      </c>
      <c r="O482" s="2"/>
      <c r="P482" s="2"/>
    </row>
    <row r="483" spans="1:16">
      <c r="A483" s="5" t="s">
        <v>818</v>
      </c>
      <c r="B483" s="8">
        <v>46231</v>
      </c>
      <c r="C483" s="14">
        <f t="shared" si="7"/>
        <v>46204</v>
      </c>
      <c r="D483" s="5" t="s">
        <v>559</v>
      </c>
      <c r="E483" s="5" t="s">
        <v>16</v>
      </c>
      <c r="F483" s="5" t="s">
        <v>3</v>
      </c>
      <c r="G483" s="5" t="s">
        <v>11</v>
      </c>
      <c r="H483" s="5">
        <v>1</v>
      </c>
      <c r="I483" s="6">
        <v>3880</v>
      </c>
      <c r="J483" s="7">
        <v>0.15</v>
      </c>
      <c r="K483" s="6">
        <v>3298</v>
      </c>
      <c r="L483" s="6">
        <v>2505.3000000000002</v>
      </c>
      <c r="M483" s="5">
        <v>792.7</v>
      </c>
      <c r="N483" s="5" t="s">
        <v>66</v>
      </c>
      <c r="O483" s="2"/>
      <c r="P483" s="2"/>
    </row>
    <row r="484" spans="1:16">
      <c r="A484" s="5" t="s">
        <v>819</v>
      </c>
      <c r="B484" s="8">
        <v>46232</v>
      </c>
      <c r="C484" s="14">
        <f t="shared" si="7"/>
        <v>46204</v>
      </c>
      <c r="D484" s="5" t="s">
        <v>250</v>
      </c>
      <c r="E484" s="5" t="s">
        <v>15</v>
      </c>
      <c r="F484" s="5" t="s">
        <v>5</v>
      </c>
      <c r="G484" s="5" t="s">
        <v>8</v>
      </c>
      <c r="H484" s="5">
        <v>3</v>
      </c>
      <c r="I484" s="6">
        <v>3370</v>
      </c>
      <c r="J484" s="7">
        <v>0.05</v>
      </c>
      <c r="K484" s="6">
        <v>9604.5</v>
      </c>
      <c r="L484" s="6">
        <v>6522.09</v>
      </c>
      <c r="M484" s="5">
        <v>3082.41</v>
      </c>
      <c r="N484" s="5" t="s">
        <v>62</v>
      </c>
      <c r="O484" s="2"/>
      <c r="P484" s="2"/>
    </row>
    <row r="485" spans="1:16">
      <c r="A485" s="5" t="s">
        <v>820</v>
      </c>
      <c r="B485" s="8">
        <v>46232</v>
      </c>
      <c r="C485" s="14">
        <f t="shared" si="7"/>
        <v>46204</v>
      </c>
      <c r="D485" s="5" t="s">
        <v>439</v>
      </c>
      <c r="E485" s="5" t="s">
        <v>90</v>
      </c>
      <c r="F485" s="5" t="s">
        <v>3</v>
      </c>
      <c r="G485" s="5" t="s">
        <v>8</v>
      </c>
      <c r="H485" s="5">
        <v>1</v>
      </c>
      <c r="I485" s="6">
        <v>2010</v>
      </c>
      <c r="J485" s="7">
        <v>0.05</v>
      </c>
      <c r="K485" s="6">
        <v>1909.5</v>
      </c>
      <c r="L485" s="6">
        <v>1193.03</v>
      </c>
      <c r="M485" s="5">
        <v>716.47</v>
      </c>
      <c r="N485" s="5" t="s">
        <v>64</v>
      </c>
      <c r="O485" s="2"/>
      <c r="P485" s="2"/>
    </row>
    <row r="486" spans="1:16">
      <c r="A486" s="5" t="s">
        <v>821</v>
      </c>
      <c r="B486" s="8">
        <v>46234</v>
      </c>
      <c r="C486" s="14">
        <f t="shared" si="7"/>
        <v>46204</v>
      </c>
      <c r="D486" s="5" t="s">
        <v>822</v>
      </c>
      <c r="E486" s="5" t="s">
        <v>130</v>
      </c>
      <c r="F486" s="5" t="s">
        <v>5</v>
      </c>
      <c r="G486" s="5" t="s">
        <v>10</v>
      </c>
      <c r="H486" s="5">
        <v>3</v>
      </c>
      <c r="I486" s="6">
        <v>3100</v>
      </c>
      <c r="J486" s="7">
        <v>0.1</v>
      </c>
      <c r="K486" s="6">
        <v>8370</v>
      </c>
      <c r="L486" s="6">
        <v>6005.49</v>
      </c>
      <c r="M486" s="5">
        <v>2364.5100000000002</v>
      </c>
      <c r="N486" s="5" t="s">
        <v>63</v>
      </c>
      <c r="O486" s="2"/>
      <c r="P486" s="2"/>
    </row>
    <row r="487" spans="1:16">
      <c r="A487" s="5" t="s">
        <v>823</v>
      </c>
      <c r="B487" s="8">
        <v>46235</v>
      </c>
      <c r="C487" s="14">
        <f t="shared" si="7"/>
        <v>46235</v>
      </c>
      <c r="D487" s="5" t="s">
        <v>824</v>
      </c>
      <c r="E487" s="5" t="s">
        <v>83</v>
      </c>
      <c r="F487" s="5" t="s">
        <v>4</v>
      </c>
      <c r="G487" s="5" t="s">
        <v>9</v>
      </c>
      <c r="H487" s="5">
        <v>2</v>
      </c>
      <c r="I487" s="6">
        <v>1610</v>
      </c>
      <c r="J487" s="7">
        <v>0.25</v>
      </c>
      <c r="K487" s="6">
        <v>2415</v>
      </c>
      <c r="L487" s="6">
        <v>1814.76</v>
      </c>
      <c r="M487" s="5">
        <v>600.24</v>
      </c>
      <c r="N487" s="5" t="s">
        <v>62</v>
      </c>
      <c r="O487" s="2"/>
      <c r="P487" s="2"/>
    </row>
    <row r="488" spans="1:16">
      <c r="A488" s="5" t="s">
        <v>825</v>
      </c>
      <c r="B488" s="8">
        <v>46235</v>
      </c>
      <c r="C488" s="14">
        <f t="shared" si="7"/>
        <v>46235</v>
      </c>
      <c r="D488" s="5" t="s">
        <v>293</v>
      </c>
      <c r="E488" s="5" t="s">
        <v>121</v>
      </c>
      <c r="F488" s="5" t="s">
        <v>3</v>
      </c>
      <c r="G488" s="5" t="s">
        <v>11</v>
      </c>
      <c r="H488" s="5">
        <v>1</v>
      </c>
      <c r="I488" s="6">
        <v>1320</v>
      </c>
      <c r="J488" s="7">
        <v>0.05</v>
      </c>
      <c r="K488" s="6">
        <v>1254</v>
      </c>
      <c r="L488" s="6">
        <v>781.22</v>
      </c>
      <c r="M488" s="5">
        <v>472.78</v>
      </c>
      <c r="N488" s="5" t="s">
        <v>63</v>
      </c>
      <c r="O488" s="2"/>
      <c r="P488" s="2"/>
    </row>
    <row r="489" spans="1:16">
      <c r="A489" s="5" t="s">
        <v>826</v>
      </c>
      <c r="B489" s="8">
        <v>46237</v>
      </c>
      <c r="C489" s="14">
        <f t="shared" si="7"/>
        <v>46235</v>
      </c>
      <c r="D489" s="5" t="s">
        <v>94</v>
      </c>
      <c r="E489" s="5" t="s">
        <v>16</v>
      </c>
      <c r="F489" s="5" t="s">
        <v>3</v>
      </c>
      <c r="G489" s="5" t="s">
        <v>11</v>
      </c>
      <c r="H489" s="5">
        <v>2</v>
      </c>
      <c r="I489" s="6">
        <v>4080</v>
      </c>
      <c r="J489" s="7">
        <v>0.1</v>
      </c>
      <c r="K489" s="6">
        <v>7344</v>
      </c>
      <c r="L489" s="6">
        <v>4934.75</v>
      </c>
      <c r="M489" s="5">
        <v>2409.25</v>
      </c>
      <c r="N489" s="5" t="s">
        <v>63</v>
      </c>
      <c r="O489" s="2"/>
      <c r="P489" s="2"/>
    </row>
    <row r="490" spans="1:16">
      <c r="A490" s="5" t="s">
        <v>827</v>
      </c>
      <c r="B490" s="8">
        <v>46238</v>
      </c>
      <c r="C490" s="14">
        <f t="shared" si="7"/>
        <v>46235</v>
      </c>
      <c r="D490" s="5" t="s">
        <v>393</v>
      </c>
      <c r="E490" s="5" t="s">
        <v>90</v>
      </c>
      <c r="F490" s="5" t="s">
        <v>3</v>
      </c>
      <c r="G490" s="5" t="s">
        <v>11</v>
      </c>
      <c r="H490" s="5">
        <v>2</v>
      </c>
      <c r="I490" s="6">
        <v>1930</v>
      </c>
      <c r="J490" s="7">
        <v>0.1</v>
      </c>
      <c r="K490" s="6">
        <v>3474</v>
      </c>
      <c r="L490" s="6">
        <v>2380.15</v>
      </c>
      <c r="M490" s="5">
        <v>1093.8499999999999</v>
      </c>
      <c r="N490" s="5" t="s">
        <v>63</v>
      </c>
      <c r="O490" s="2"/>
      <c r="P490" s="2"/>
    </row>
    <row r="491" spans="1:16">
      <c r="A491" s="5" t="s">
        <v>828</v>
      </c>
      <c r="B491" s="8">
        <v>46241</v>
      </c>
      <c r="C491" s="14">
        <f t="shared" si="7"/>
        <v>46235</v>
      </c>
      <c r="D491" s="5" t="s">
        <v>185</v>
      </c>
      <c r="E491" s="5" t="s">
        <v>17</v>
      </c>
      <c r="F491" s="5" t="s">
        <v>4</v>
      </c>
      <c r="G491" s="5" t="s">
        <v>9</v>
      </c>
      <c r="H491" s="5">
        <v>1</v>
      </c>
      <c r="I491" s="6">
        <v>2990</v>
      </c>
      <c r="J491" s="7">
        <v>0.05</v>
      </c>
      <c r="K491" s="6">
        <v>2840.5</v>
      </c>
      <c r="L491" s="6">
        <v>1799.57</v>
      </c>
      <c r="M491" s="5">
        <v>1040.93</v>
      </c>
      <c r="N491" s="5" t="s">
        <v>66</v>
      </c>
      <c r="O491" s="2"/>
      <c r="P491" s="2"/>
    </row>
    <row r="492" spans="1:16">
      <c r="A492" s="5" t="s">
        <v>829</v>
      </c>
      <c r="B492" s="8">
        <v>46243</v>
      </c>
      <c r="C492" s="14">
        <f t="shared" si="7"/>
        <v>46235</v>
      </c>
      <c r="D492" s="5" t="s">
        <v>234</v>
      </c>
      <c r="E492" s="5" t="s">
        <v>121</v>
      </c>
      <c r="F492" s="5" t="s">
        <v>3</v>
      </c>
      <c r="G492" s="5" t="s">
        <v>9</v>
      </c>
      <c r="H492" s="5">
        <v>2</v>
      </c>
      <c r="I492" s="6">
        <v>1340</v>
      </c>
      <c r="J492" s="7">
        <v>0</v>
      </c>
      <c r="K492" s="6">
        <v>2680</v>
      </c>
      <c r="L492" s="6">
        <v>1480.63</v>
      </c>
      <c r="M492" s="5">
        <v>1199.3699999999999</v>
      </c>
      <c r="N492" s="5" t="s">
        <v>66</v>
      </c>
      <c r="O492" s="2"/>
      <c r="P492" s="2"/>
    </row>
    <row r="493" spans="1:16">
      <c r="A493" s="5" t="s">
        <v>830</v>
      </c>
      <c r="B493" s="8">
        <v>46245</v>
      </c>
      <c r="C493" s="14">
        <f t="shared" si="7"/>
        <v>46235</v>
      </c>
      <c r="D493" s="5" t="s">
        <v>770</v>
      </c>
      <c r="E493" s="5" t="s">
        <v>130</v>
      </c>
      <c r="F493" s="5" t="s">
        <v>5</v>
      </c>
      <c r="G493" s="5" t="s">
        <v>10</v>
      </c>
      <c r="H493" s="5">
        <v>1</v>
      </c>
      <c r="I493" s="6">
        <v>3120</v>
      </c>
      <c r="J493" s="7">
        <v>0.15</v>
      </c>
      <c r="K493" s="6">
        <v>2652</v>
      </c>
      <c r="L493" s="6">
        <v>1919.66</v>
      </c>
      <c r="M493" s="5">
        <v>732.34</v>
      </c>
      <c r="N493" s="5" t="s">
        <v>66</v>
      </c>
      <c r="O493" s="2"/>
      <c r="P493" s="2"/>
    </row>
    <row r="494" spans="1:16">
      <c r="A494" s="5" t="s">
        <v>831</v>
      </c>
      <c r="B494" s="8">
        <v>46251</v>
      </c>
      <c r="C494" s="14">
        <f t="shared" si="7"/>
        <v>46235</v>
      </c>
      <c r="D494" s="5" t="s">
        <v>284</v>
      </c>
      <c r="E494" s="5" t="s">
        <v>15</v>
      </c>
      <c r="F494" s="5" t="s">
        <v>5</v>
      </c>
      <c r="G494" s="5" t="s">
        <v>11</v>
      </c>
      <c r="H494" s="5">
        <v>1</v>
      </c>
      <c r="I494" s="6">
        <v>3400</v>
      </c>
      <c r="J494" s="7">
        <v>0.1</v>
      </c>
      <c r="K494" s="6">
        <v>3060</v>
      </c>
      <c r="L494" s="6">
        <v>2225.79</v>
      </c>
      <c r="M494" s="5">
        <v>834.21</v>
      </c>
      <c r="N494" s="5" t="s">
        <v>66</v>
      </c>
      <c r="O494" s="2"/>
      <c r="P494" s="2"/>
    </row>
    <row r="495" spans="1:16">
      <c r="A495" s="5" t="s">
        <v>832</v>
      </c>
      <c r="B495" s="8">
        <v>46256</v>
      </c>
      <c r="C495" s="14">
        <f t="shared" si="7"/>
        <v>46235</v>
      </c>
      <c r="D495" s="5" t="s">
        <v>454</v>
      </c>
      <c r="E495" s="5" t="s">
        <v>221</v>
      </c>
      <c r="F495" s="5" t="s">
        <v>2</v>
      </c>
      <c r="G495" s="5" t="s">
        <v>11</v>
      </c>
      <c r="H495" s="5">
        <v>1</v>
      </c>
      <c r="I495" s="6">
        <v>1830</v>
      </c>
      <c r="J495" s="7">
        <v>0.05</v>
      </c>
      <c r="K495" s="6">
        <v>1738.5</v>
      </c>
      <c r="L495" s="6">
        <v>1074.3900000000001</v>
      </c>
      <c r="M495" s="5">
        <v>664.11</v>
      </c>
      <c r="N495" s="5" t="s">
        <v>63</v>
      </c>
      <c r="O495" s="2"/>
      <c r="P495" s="2"/>
    </row>
    <row r="496" spans="1:16">
      <c r="A496" s="5" t="s">
        <v>833</v>
      </c>
      <c r="B496" s="8">
        <v>46256</v>
      </c>
      <c r="C496" s="14">
        <f t="shared" si="7"/>
        <v>46235</v>
      </c>
      <c r="D496" s="5" t="s">
        <v>134</v>
      </c>
      <c r="E496" s="5" t="s">
        <v>15</v>
      </c>
      <c r="F496" s="5" t="s">
        <v>5</v>
      </c>
      <c r="G496" s="5" t="s">
        <v>10</v>
      </c>
      <c r="H496" s="5">
        <v>2</v>
      </c>
      <c r="I496" s="6">
        <v>3490</v>
      </c>
      <c r="J496" s="7">
        <v>0.15</v>
      </c>
      <c r="K496" s="6">
        <v>5933</v>
      </c>
      <c r="L496" s="6">
        <v>4379.58</v>
      </c>
      <c r="M496" s="5">
        <v>1553.42</v>
      </c>
      <c r="N496" s="5" t="s">
        <v>63</v>
      </c>
      <c r="O496" s="2"/>
      <c r="P496" s="2"/>
    </row>
    <row r="497" spans="1:16">
      <c r="A497" s="5" t="s">
        <v>834</v>
      </c>
      <c r="B497" s="8">
        <v>46257</v>
      </c>
      <c r="C497" s="14">
        <f t="shared" si="7"/>
        <v>46235</v>
      </c>
      <c r="D497" s="5" t="s">
        <v>227</v>
      </c>
      <c r="E497" s="5" t="s">
        <v>100</v>
      </c>
      <c r="F497" s="5" t="s">
        <v>4</v>
      </c>
      <c r="G497" s="5" t="s">
        <v>9</v>
      </c>
      <c r="H497" s="5">
        <v>2</v>
      </c>
      <c r="I497" s="6">
        <v>1530</v>
      </c>
      <c r="J497" s="7">
        <v>0.15</v>
      </c>
      <c r="K497" s="6">
        <v>2601</v>
      </c>
      <c r="L497" s="6">
        <v>1687.45</v>
      </c>
      <c r="M497" s="5">
        <v>913.55</v>
      </c>
      <c r="N497" s="5" t="s">
        <v>62</v>
      </c>
      <c r="O497" s="2"/>
      <c r="P497" s="2"/>
    </row>
    <row r="498" spans="1:16">
      <c r="A498" s="5" t="s">
        <v>835</v>
      </c>
      <c r="B498" s="8">
        <v>46261</v>
      </c>
      <c r="C498" s="14">
        <f t="shared" si="7"/>
        <v>46235</v>
      </c>
      <c r="D498" s="5" t="s">
        <v>494</v>
      </c>
      <c r="E498" s="5" t="s">
        <v>83</v>
      </c>
      <c r="F498" s="5" t="s">
        <v>4</v>
      </c>
      <c r="G498" s="5" t="s">
        <v>11</v>
      </c>
      <c r="H498" s="5">
        <v>1</v>
      </c>
      <c r="I498" s="6">
        <v>1640</v>
      </c>
      <c r="J498" s="7">
        <v>0</v>
      </c>
      <c r="K498" s="6">
        <v>1640</v>
      </c>
      <c r="L498" s="6">
        <v>922.18</v>
      </c>
      <c r="M498" s="5">
        <v>717.82</v>
      </c>
      <c r="N498" s="5" t="s">
        <v>66</v>
      </c>
      <c r="O498" s="2"/>
      <c r="P498" s="2"/>
    </row>
    <row r="499" spans="1:16">
      <c r="A499" s="5" t="s">
        <v>836</v>
      </c>
      <c r="B499" s="8">
        <v>46262</v>
      </c>
      <c r="C499" s="14">
        <f t="shared" si="7"/>
        <v>46235</v>
      </c>
      <c r="D499" s="5" t="s">
        <v>837</v>
      </c>
      <c r="E499" s="5" t="s">
        <v>125</v>
      </c>
      <c r="F499" s="5" t="s">
        <v>5</v>
      </c>
      <c r="G499" s="5" t="s">
        <v>10</v>
      </c>
      <c r="H499" s="5">
        <v>2</v>
      </c>
      <c r="I499" s="6">
        <v>1820</v>
      </c>
      <c r="J499" s="7">
        <v>0.05</v>
      </c>
      <c r="K499" s="6">
        <v>3458</v>
      </c>
      <c r="L499" s="6">
        <v>2126.0500000000002</v>
      </c>
      <c r="M499" s="5">
        <v>1331.95</v>
      </c>
      <c r="N499" s="5" t="s">
        <v>62</v>
      </c>
      <c r="O499" s="2"/>
      <c r="P499" s="2"/>
    </row>
    <row r="500" spans="1:16">
      <c r="A500" s="5" t="s">
        <v>838</v>
      </c>
      <c r="B500" s="8">
        <v>46263</v>
      </c>
      <c r="C500" s="14">
        <f t="shared" si="7"/>
        <v>46235</v>
      </c>
      <c r="D500" s="5" t="s">
        <v>54</v>
      </c>
      <c r="E500" s="5" t="s">
        <v>14</v>
      </c>
      <c r="F500" s="5" t="s">
        <v>5</v>
      </c>
      <c r="G500" s="5" t="s">
        <v>8</v>
      </c>
      <c r="H500" s="5">
        <v>2</v>
      </c>
      <c r="I500" s="6">
        <v>5630</v>
      </c>
      <c r="J500" s="7">
        <v>0.05</v>
      </c>
      <c r="K500" s="6">
        <v>10697</v>
      </c>
      <c r="L500" s="6">
        <v>7092.43</v>
      </c>
      <c r="M500" s="5">
        <v>3604.57</v>
      </c>
      <c r="N500" s="5" t="s">
        <v>65</v>
      </c>
      <c r="O500" s="2"/>
      <c r="P500" s="2"/>
    </row>
    <row r="501" spans="1:16">
      <c r="A501" s="5" t="s">
        <v>839</v>
      </c>
      <c r="B501" s="8">
        <v>46264</v>
      </c>
      <c r="C501" s="14">
        <f t="shared" si="7"/>
        <v>46235</v>
      </c>
      <c r="D501" s="5" t="s">
        <v>362</v>
      </c>
      <c r="E501" s="5" t="s">
        <v>16</v>
      </c>
      <c r="F501" s="5" t="s">
        <v>3</v>
      </c>
      <c r="G501" s="5" t="s">
        <v>11</v>
      </c>
      <c r="H501" s="5">
        <v>1</v>
      </c>
      <c r="I501" s="6">
        <v>4090</v>
      </c>
      <c r="J501" s="7">
        <v>0.1</v>
      </c>
      <c r="K501" s="6">
        <v>3681</v>
      </c>
      <c r="L501" s="6">
        <v>2543.7199999999998</v>
      </c>
      <c r="M501" s="5">
        <v>1137.28</v>
      </c>
      <c r="N501" s="5" t="s">
        <v>63</v>
      </c>
      <c r="O501" s="2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300F7-5708-4C6E-BE7D-546CC50A6768}">
  <dimension ref="A1:B11"/>
  <sheetViews>
    <sheetView workbookViewId="0">
      <selection activeCell="B4" sqref="B4"/>
    </sheetView>
  </sheetViews>
  <sheetFormatPr defaultRowHeight="15"/>
  <cols>
    <col min="1" max="1" width="33.140625" customWidth="1"/>
    <col min="2" max="2" width="17.5703125" customWidth="1"/>
  </cols>
  <sheetData>
    <row r="1" spans="1:2">
      <c r="A1" s="1" t="s">
        <v>840</v>
      </c>
    </row>
    <row r="3" spans="1:2">
      <c r="A3" s="1" t="s">
        <v>841</v>
      </c>
      <c r="B3" s="1" t="s">
        <v>842</v>
      </c>
    </row>
    <row r="4" spans="1:2">
      <c r="A4" s="1" t="s">
        <v>843</v>
      </c>
      <c r="B4" s="4">
        <f>SUM(Ecommerce_Data[Sales])</f>
        <v>2302554</v>
      </c>
    </row>
    <row r="5" spans="1:2">
      <c r="A5" s="1" t="s">
        <v>844</v>
      </c>
      <c r="B5" s="4">
        <f>SUM(Ecommerce_Data[Cost])</f>
        <v>1543854.0199999986</v>
      </c>
    </row>
    <row r="6" spans="1:2">
      <c r="A6" s="1" t="s">
        <v>845</v>
      </c>
      <c r="B6" s="1">
        <f>SUM(Ecommerce_Data[Profit])</f>
        <v>758699.97999999963</v>
      </c>
    </row>
    <row r="7" spans="1:2">
      <c r="A7" s="1" t="s">
        <v>846</v>
      </c>
      <c r="B7" s="1">
        <f>COUNTA(Ecommerce_Data[Order_ID])</f>
        <v>500</v>
      </c>
    </row>
    <row r="8" spans="1:2">
      <c r="A8" s="1" t="s">
        <v>847</v>
      </c>
      <c r="B8" s="1">
        <f>SUM(Ecommerce_Data[Quantity])</f>
        <v>980</v>
      </c>
    </row>
    <row r="9" spans="1:2">
      <c r="A9" s="1" t="s">
        <v>848</v>
      </c>
      <c r="B9" s="4">
        <f>B4/B7</f>
        <v>4605.1080000000002</v>
      </c>
    </row>
    <row r="10" spans="1:2">
      <c r="A10" s="1" t="s">
        <v>67</v>
      </c>
      <c r="B10" s="3">
        <f>B6/B4</f>
        <v>0.32950366419202315</v>
      </c>
    </row>
    <row r="11" spans="1:2">
      <c r="A11" s="1" t="s">
        <v>849</v>
      </c>
      <c r="B11" s="1">
        <f>COUNTA(_xlfn.UNIQUE(Ecommerce_Data[Customer_ID]))</f>
        <v>263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F9117-DD55-4706-8D30-AB0A9EB7EBEF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2026-09-01T14:09:32Z</dcterms:created>
  <dcterms:modified xsi:type="dcterms:W3CDTF">2026-09-12T12:57:37Z</dcterms:modified>
  <cp:category/>
  <cp:contentStatus/>
</cp:coreProperties>
</file>